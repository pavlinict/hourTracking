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nielazavec/Documents/004_gewerbe DE/ITP gmbh/Mitarbeiter/"/>
    </mc:Choice>
  </mc:AlternateContent>
  <xr:revisionPtr revIDLastSave="0" documentId="13_ncr:1_{2636573B-90D8-D349-A1C1-531AC8D96E8D}" xr6:coauthVersionLast="47" xr6:coauthVersionMax="47" xr10:uidLastSave="{00000000-0000-0000-0000-000000000000}"/>
  <bookViews>
    <workbookView xWindow="18520" yWindow="1580" windowWidth="58800" windowHeight="29160" xr2:uid="{04A99163-C952-4E06-B502-57B6424FBA3C}"/>
  </bookViews>
  <sheets>
    <sheet name="Lars B" sheetId="2" r:id="rId1"/>
    <sheet name="Lena S" sheetId="3" r:id="rId2"/>
    <sheet name="Sabrina F" sheetId="6" r:id="rId3"/>
    <sheet name="Karen JT" sheetId="7" r:id="rId4"/>
    <sheet name="Ron J" sheetId="8" r:id="rId5"/>
    <sheet name="Lucas H" sheetId="9" r:id="rId6"/>
    <sheet name="Mayuresh P" sheetId="10" r:id="rId7"/>
    <sheet name="Daniela Z" sheetId="12" r:id="rId8"/>
    <sheet name="MA2 (3)" sheetId="5" r:id="rId9"/>
    <sheet name="Stunden pro Projekt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3" l="1"/>
  <c r="G6" i="13"/>
  <c r="H6" i="13"/>
  <c r="I6" i="13"/>
  <c r="J6" i="13"/>
  <c r="K6" i="13"/>
  <c r="L6" i="13"/>
  <c r="M6" i="13"/>
  <c r="D6" i="13"/>
  <c r="E6" i="13"/>
  <c r="C6" i="13"/>
  <c r="F102" i="13"/>
  <c r="E102" i="13"/>
  <c r="D102" i="13"/>
  <c r="C102" i="13"/>
  <c r="B102" i="13"/>
  <c r="G98" i="13"/>
  <c r="F98" i="13"/>
  <c r="E98" i="13"/>
  <c r="D98" i="13"/>
  <c r="C98" i="13"/>
  <c r="B98" i="13"/>
  <c r="N96" i="13"/>
  <c r="G96" i="13"/>
  <c r="F96" i="13"/>
  <c r="E96" i="13"/>
  <c r="D96" i="13"/>
  <c r="C96" i="13"/>
  <c r="B96" i="13"/>
  <c r="G95" i="13"/>
  <c r="F95" i="13"/>
  <c r="E95" i="13"/>
  <c r="D95" i="13"/>
  <c r="C95" i="13"/>
  <c r="B95" i="13"/>
  <c r="G94" i="13"/>
  <c r="F94" i="13"/>
  <c r="E94" i="13"/>
  <c r="D94" i="13"/>
  <c r="C94" i="13"/>
  <c r="B94" i="13"/>
  <c r="G93" i="13"/>
  <c r="F93" i="13"/>
  <c r="E93" i="13"/>
  <c r="D93" i="13"/>
  <c r="C93" i="13"/>
  <c r="B93" i="13"/>
  <c r="F92" i="13"/>
  <c r="E92" i="13"/>
  <c r="D92" i="13"/>
  <c r="B92" i="13"/>
  <c r="F91" i="13"/>
  <c r="E91" i="13"/>
  <c r="D91" i="13"/>
  <c r="C91" i="13"/>
  <c r="B91" i="13"/>
  <c r="G88" i="13"/>
  <c r="F88" i="13"/>
  <c r="E88" i="13"/>
  <c r="D88" i="13"/>
  <c r="C88" i="13"/>
  <c r="B88" i="13"/>
  <c r="N86" i="13"/>
  <c r="G86" i="13"/>
  <c r="F86" i="13"/>
  <c r="E86" i="13"/>
  <c r="D86" i="13"/>
  <c r="C86" i="13"/>
  <c r="B86" i="13"/>
  <c r="G85" i="13"/>
  <c r="F85" i="13"/>
  <c r="E85" i="13"/>
  <c r="D85" i="13"/>
  <c r="C85" i="13"/>
  <c r="B85" i="13"/>
  <c r="G84" i="13"/>
  <c r="F84" i="13"/>
  <c r="E84" i="13"/>
  <c r="D84" i="13"/>
  <c r="C84" i="13"/>
  <c r="B84" i="13"/>
  <c r="N83" i="13"/>
  <c r="G83" i="13"/>
  <c r="F83" i="13"/>
  <c r="E83" i="13"/>
  <c r="D83" i="13"/>
  <c r="C83" i="13"/>
  <c r="B83" i="13"/>
  <c r="F82" i="13"/>
  <c r="E82" i="13"/>
  <c r="D82" i="13"/>
  <c r="B82" i="13"/>
  <c r="F81" i="13"/>
  <c r="E81" i="13"/>
  <c r="D81" i="13"/>
  <c r="C81" i="13"/>
  <c r="B81" i="13"/>
  <c r="B6" i="13"/>
  <c r="N13" i="13"/>
  <c r="N12" i="13"/>
  <c r="N11" i="13"/>
  <c r="N10" i="13"/>
  <c r="N9" i="13"/>
  <c r="N8" i="13"/>
  <c r="N7" i="13"/>
  <c r="H17" i="13"/>
  <c r="I17" i="13"/>
  <c r="J17" i="13"/>
  <c r="K17" i="13"/>
  <c r="L17" i="13"/>
  <c r="M17" i="13"/>
  <c r="AI139" i="2"/>
  <c r="AI140" i="2"/>
  <c r="AI141" i="2"/>
  <c r="AI142" i="2"/>
  <c r="AI143" i="2"/>
  <c r="AI144" i="2"/>
  <c r="AI145" i="2"/>
  <c r="AI146" i="2"/>
  <c r="AI147" i="2"/>
  <c r="AI148" i="2"/>
  <c r="AI138" i="2"/>
  <c r="AI126" i="2"/>
  <c r="AI114" i="2"/>
  <c r="AI102" i="2"/>
  <c r="AI90" i="2"/>
  <c r="AI79" i="2"/>
  <c r="AI80" i="2"/>
  <c r="AI81" i="2"/>
  <c r="AI82" i="2"/>
  <c r="AI83" i="2"/>
  <c r="AI84" i="2"/>
  <c r="AI85" i="2"/>
  <c r="AI86" i="2"/>
  <c r="AI87" i="2"/>
  <c r="AI88" i="2"/>
  <c r="AI78" i="2"/>
  <c r="AI67" i="2"/>
  <c r="AI68" i="2"/>
  <c r="AI69" i="2"/>
  <c r="AI70" i="2"/>
  <c r="AI71" i="2"/>
  <c r="AI72" i="2"/>
  <c r="AI73" i="2"/>
  <c r="AI74" i="2"/>
  <c r="AI75" i="2"/>
  <c r="AI76" i="2"/>
  <c r="AI66" i="2"/>
  <c r="AI54" i="2"/>
  <c r="AI42" i="2"/>
  <c r="AI32" i="2"/>
  <c r="AI33" i="2"/>
  <c r="AI34" i="2"/>
  <c r="AI35" i="2"/>
  <c r="AI36" i="2"/>
  <c r="AI37" i="2"/>
  <c r="AI38" i="2"/>
  <c r="AI39" i="2"/>
  <c r="AI40" i="2"/>
  <c r="AI31" i="2"/>
  <c r="AI21" i="2"/>
  <c r="AI22" i="2"/>
  <c r="AI23" i="2"/>
  <c r="AI24" i="2"/>
  <c r="AI25" i="2"/>
  <c r="AI26" i="2"/>
  <c r="AI27" i="2"/>
  <c r="AI28" i="2"/>
  <c r="AI29" i="2"/>
  <c r="AI20" i="2"/>
  <c r="AI127" i="2"/>
  <c r="AI128" i="2"/>
  <c r="AI129" i="2"/>
  <c r="AI130" i="2"/>
  <c r="AI131" i="2"/>
  <c r="AI132" i="2"/>
  <c r="AI133" i="2"/>
  <c r="AI134" i="2"/>
  <c r="AI135" i="2"/>
  <c r="AI136" i="2"/>
  <c r="AI115" i="2"/>
  <c r="AI116" i="2"/>
  <c r="AI117" i="2"/>
  <c r="AI118" i="2"/>
  <c r="AI119" i="2"/>
  <c r="AI120" i="2"/>
  <c r="AI121" i="2"/>
  <c r="AI122" i="2"/>
  <c r="AI123" i="2"/>
  <c r="AI124" i="2"/>
  <c r="AI103" i="2"/>
  <c r="AI104" i="2"/>
  <c r="AI105" i="2"/>
  <c r="AI106" i="2"/>
  <c r="AI107" i="2"/>
  <c r="AI108" i="2"/>
  <c r="AI109" i="2"/>
  <c r="AI110" i="2"/>
  <c r="AI111" i="2"/>
  <c r="AI112" i="2"/>
  <c r="AI91" i="2"/>
  <c r="AI92" i="2"/>
  <c r="AI93" i="2"/>
  <c r="AI94" i="2"/>
  <c r="AI95" i="2"/>
  <c r="AI96" i="2"/>
  <c r="AI97" i="2"/>
  <c r="AI98" i="2"/>
  <c r="AI99" i="2"/>
  <c r="AI100" i="2"/>
  <c r="AI63" i="2"/>
  <c r="AI62" i="2"/>
  <c r="AI50" i="2"/>
  <c r="AI51" i="2"/>
  <c r="AI16" i="2"/>
  <c r="AI17" i="2"/>
  <c r="AI55" i="2"/>
  <c r="AI56" i="2"/>
  <c r="AI57" i="2"/>
  <c r="AI58" i="2"/>
  <c r="AI59" i="2"/>
  <c r="AI60" i="2"/>
  <c r="AI61" i="2"/>
  <c r="AI64" i="2"/>
  <c r="AI43" i="2"/>
  <c r="AI44" i="2"/>
  <c r="AI45" i="2"/>
  <c r="AI46" i="2"/>
  <c r="AI47" i="2"/>
  <c r="AI48" i="2"/>
  <c r="AI49" i="2"/>
  <c r="AI52" i="2"/>
  <c r="AI10" i="2"/>
  <c r="AI11" i="2"/>
  <c r="B28" i="13" s="1"/>
  <c r="AI12" i="2"/>
  <c r="B38" i="13" s="1"/>
  <c r="AI13" i="2"/>
  <c r="B49" i="13" s="1"/>
  <c r="AI14" i="2"/>
  <c r="B60" i="13" s="1"/>
  <c r="AI15" i="2"/>
  <c r="B71" i="13" s="1"/>
  <c r="AI18" i="2"/>
  <c r="AI9" i="2"/>
  <c r="B17" i="13" s="1"/>
  <c r="AI47" i="6"/>
  <c r="F19" i="13" s="1"/>
  <c r="AI48" i="6"/>
  <c r="AI49" i="6"/>
  <c r="AI50" i="6"/>
  <c r="F51" i="13" s="1"/>
  <c r="AI51" i="6"/>
  <c r="AI52" i="6"/>
  <c r="AI53" i="6"/>
  <c r="F73" i="13" s="1"/>
  <c r="AI54" i="6"/>
  <c r="G77" i="13"/>
  <c r="G76" i="13"/>
  <c r="G74" i="13"/>
  <c r="F76" i="13"/>
  <c r="E76" i="13"/>
  <c r="D74" i="13"/>
  <c r="C77" i="13"/>
  <c r="C76" i="13"/>
  <c r="C75" i="13"/>
  <c r="C74" i="13"/>
  <c r="C73" i="13"/>
  <c r="B77" i="13"/>
  <c r="B76" i="13"/>
  <c r="B75" i="13"/>
  <c r="B74" i="13"/>
  <c r="B73" i="13"/>
  <c r="B72" i="13"/>
  <c r="G66" i="13"/>
  <c r="G65" i="13"/>
  <c r="G63" i="13"/>
  <c r="G62" i="13"/>
  <c r="G61" i="13"/>
  <c r="G60" i="13"/>
  <c r="F65" i="13"/>
  <c r="F63" i="13"/>
  <c r="F62" i="13"/>
  <c r="F61" i="13"/>
  <c r="E66" i="13"/>
  <c r="E65" i="13"/>
  <c r="E62" i="13"/>
  <c r="D66" i="13"/>
  <c r="D63" i="13"/>
  <c r="C66" i="13"/>
  <c r="C65" i="13"/>
  <c r="C64" i="13"/>
  <c r="C63" i="13"/>
  <c r="C62" i="13"/>
  <c r="B66" i="13"/>
  <c r="B65" i="13"/>
  <c r="B64" i="13"/>
  <c r="B63" i="13"/>
  <c r="B62" i="13"/>
  <c r="B61" i="13"/>
  <c r="G55" i="13"/>
  <c r="F55" i="13"/>
  <c r="E55" i="13"/>
  <c r="D55" i="13"/>
  <c r="D54" i="13"/>
  <c r="C55" i="13"/>
  <c r="C54" i="13"/>
  <c r="C53" i="13"/>
  <c r="C52" i="13"/>
  <c r="C51" i="13"/>
  <c r="B55" i="13"/>
  <c r="B54" i="13"/>
  <c r="B53" i="13"/>
  <c r="B52" i="13"/>
  <c r="B51" i="13"/>
  <c r="B50" i="13"/>
  <c r="E43" i="13"/>
  <c r="E39" i="13"/>
  <c r="C44" i="13"/>
  <c r="C43" i="13"/>
  <c r="C42" i="13"/>
  <c r="C41" i="13"/>
  <c r="C40" i="13"/>
  <c r="C39" i="13"/>
  <c r="B44" i="13"/>
  <c r="B43" i="13"/>
  <c r="B42" i="13"/>
  <c r="B41" i="13"/>
  <c r="B40" i="13"/>
  <c r="B39" i="13"/>
  <c r="G44" i="13"/>
  <c r="F44" i="13"/>
  <c r="G43" i="13"/>
  <c r="G42" i="13"/>
  <c r="G41" i="13"/>
  <c r="F41" i="13"/>
  <c r="G40" i="13"/>
  <c r="F40" i="13"/>
  <c r="G39" i="13"/>
  <c r="F39" i="13"/>
  <c r="G34" i="13"/>
  <c r="E34" i="13"/>
  <c r="D34" i="13"/>
  <c r="C34" i="13"/>
  <c r="B34" i="13"/>
  <c r="C33" i="13"/>
  <c r="B33" i="13"/>
  <c r="C32" i="13"/>
  <c r="B32" i="13"/>
  <c r="G31" i="13"/>
  <c r="F31" i="13"/>
  <c r="E30" i="13"/>
  <c r="C31" i="13"/>
  <c r="B31" i="13"/>
  <c r="G30" i="13"/>
  <c r="F30" i="13"/>
  <c r="C30" i="13"/>
  <c r="B30" i="13"/>
  <c r="G29" i="13"/>
  <c r="F29" i="13"/>
  <c r="E29" i="13"/>
  <c r="C29" i="13"/>
  <c r="B29" i="13"/>
  <c r="G28" i="13"/>
  <c r="C24" i="13"/>
  <c r="B24" i="13"/>
  <c r="C22" i="13"/>
  <c r="B22" i="13"/>
  <c r="AI28" i="8"/>
  <c r="D21" i="13" s="1"/>
  <c r="C21" i="13"/>
  <c r="B21" i="13"/>
  <c r="G20" i="13"/>
  <c r="F20" i="13"/>
  <c r="E20" i="13"/>
  <c r="C20" i="13"/>
  <c r="B20" i="13"/>
  <c r="G18" i="13"/>
  <c r="D19" i="13"/>
  <c r="C19" i="13"/>
  <c r="C18" i="13"/>
  <c r="B19" i="13"/>
  <c r="B18" i="13"/>
  <c r="N23" i="13"/>
  <c r="AI17" i="12"/>
  <c r="AI10" i="12"/>
  <c r="AI11" i="12"/>
  <c r="AI12" i="12"/>
  <c r="AI13" i="12"/>
  <c r="AI14" i="12"/>
  <c r="AI15" i="12"/>
  <c r="AI16" i="12"/>
  <c r="AI9" i="12"/>
  <c r="AI17" i="10"/>
  <c r="AI10" i="10"/>
  <c r="AI11" i="10"/>
  <c r="AI12" i="10"/>
  <c r="AI13" i="10"/>
  <c r="AI14" i="10"/>
  <c r="AI15" i="10"/>
  <c r="AI16" i="10"/>
  <c r="AI9" i="10"/>
  <c r="AI17" i="9"/>
  <c r="AI10" i="9"/>
  <c r="AI11" i="9"/>
  <c r="AI12" i="9"/>
  <c r="AI13" i="9"/>
  <c r="AI14" i="9"/>
  <c r="AI15" i="9"/>
  <c r="AI16" i="9"/>
  <c r="AI9" i="9"/>
  <c r="AI9" i="8"/>
  <c r="AI17" i="8" s="1"/>
  <c r="AK17" i="8" s="1"/>
  <c r="AI10" i="8"/>
  <c r="AI11" i="8"/>
  <c r="AI12" i="8"/>
  <c r="AI13" i="8"/>
  <c r="AI14" i="8"/>
  <c r="AI15" i="8"/>
  <c r="AI16" i="8"/>
  <c r="AI9" i="7"/>
  <c r="AI17" i="7" s="1"/>
  <c r="AK17" i="7" s="1"/>
  <c r="AI10" i="7"/>
  <c r="AI11" i="7"/>
  <c r="AI12" i="7"/>
  <c r="AI13" i="7"/>
  <c r="AI14" i="7"/>
  <c r="AI15" i="7"/>
  <c r="AI16" i="7"/>
  <c r="AI9" i="6"/>
  <c r="AI17" i="6"/>
  <c r="AK17" i="6"/>
  <c r="AI10" i="6"/>
  <c r="AI11" i="6"/>
  <c r="AI12" i="6"/>
  <c r="AI13" i="6"/>
  <c r="AI14" i="6"/>
  <c r="AI15" i="6"/>
  <c r="AI16" i="6"/>
  <c r="AI17" i="3"/>
  <c r="AI10" i="3"/>
  <c r="AI11" i="3"/>
  <c r="AI12" i="3"/>
  <c r="AI13" i="3"/>
  <c r="AI14" i="3"/>
  <c r="AI15" i="3"/>
  <c r="AI16" i="3"/>
  <c r="AI9" i="3"/>
  <c r="AI64" i="12"/>
  <c r="AI63" i="12"/>
  <c r="AI62" i="12"/>
  <c r="AI61" i="12"/>
  <c r="AI60" i="12"/>
  <c r="AI59" i="12"/>
  <c r="AI58" i="12"/>
  <c r="AI57" i="12"/>
  <c r="G24" i="13" s="1"/>
  <c r="AI56" i="12"/>
  <c r="AI54" i="12"/>
  <c r="AI53" i="12"/>
  <c r="F77" i="13" s="1"/>
  <c r="AI52" i="12"/>
  <c r="F66" i="13" s="1"/>
  <c r="AI51" i="12"/>
  <c r="AI50" i="12"/>
  <c r="AI49" i="12"/>
  <c r="AI48" i="12"/>
  <c r="F34" i="13" s="1"/>
  <c r="AI47" i="12"/>
  <c r="F24" i="13" s="1"/>
  <c r="AI46" i="12"/>
  <c r="AI44" i="12"/>
  <c r="AI43" i="12"/>
  <c r="E77" i="13" s="1"/>
  <c r="AI42" i="12"/>
  <c r="AI40" i="12"/>
  <c r="AI39" i="12"/>
  <c r="E44" i="13" s="1"/>
  <c r="AI38" i="12"/>
  <c r="AI37" i="12"/>
  <c r="E24" i="13" s="1"/>
  <c r="AI36" i="12"/>
  <c r="AI34" i="12"/>
  <c r="AI33" i="12"/>
  <c r="D77" i="13" s="1"/>
  <c r="AI32" i="12"/>
  <c r="AI31" i="12"/>
  <c r="AI30" i="12"/>
  <c r="D44" i="13" s="1"/>
  <c r="AI29" i="12"/>
  <c r="AI28" i="12"/>
  <c r="D24" i="13" s="1"/>
  <c r="AI27" i="12"/>
  <c r="AI25" i="12"/>
  <c r="AI24" i="12"/>
  <c r="AI23" i="12"/>
  <c r="AI22" i="12"/>
  <c r="AI21" i="12"/>
  <c r="AI20" i="12"/>
  <c r="AI19" i="12"/>
  <c r="AI18" i="12"/>
  <c r="AK17" i="12"/>
  <c r="AI54" i="10"/>
  <c r="AI53" i="10"/>
  <c r="AI52" i="10"/>
  <c r="AI51" i="10"/>
  <c r="AI50" i="10"/>
  <c r="AI49" i="10"/>
  <c r="AI48" i="10"/>
  <c r="AI47" i="10"/>
  <c r="AI46" i="10"/>
  <c r="AI44" i="10"/>
  <c r="AI43" i="10"/>
  <c r="AI42" i="10"/>
  <c r="AI40" i="10"/>
  <c r="AI39" i="10"/>
  <c r="AI38" i="10"/>
  <c r="AI37" i="10"/>
  <c r="AI36" i="10"/>
  <c r="AI34" i="10"/>
  <c r="AI33" i="10"/>
  <c r="AI32" i="10"/>
  <c r="AI31" i="10"/>
  <c r="AI30" i="10"/>
  <c r="AI29" i="10"/>
  <c r="AI28" i="10"/>
  <c r="AI27" i="10"/>
  <c r="AI25" i="10"/>
  <c r="AI24" i="10"/>
  <c r="AI23" i="10"/>
  <c r="AI22" i="10"/>
  <c r="AI21" i="10"/>
  <c r="AI20" i="10"/>
  <c r="AI19" i="10"/>
  <c r="AI18" i="10"/>
  <c r="AK17" i="10"/>
  <c r="AI64" i="9"/>
  <c r="AI63" i="9"/>
  <c r="AI62" i="9"/>
  <c r="AI61" i="9"/>
  <c r="AI60" i="9"/>
  <c r="G54" i="13" s="1"/>
  <c r="AI59" i="9"/>
  <c r="AI58" i="9"/>
  <c r="F43" i="13" s="1"/>
  <c r="AI57" i="9"/>
  <c r="G22" i="13" s="1"/>
  <c r="AI56" i="9"/>
  <c r="AI54" i="9"/>
  <c r="AI53" i="9"/>
  <c r="AI52" i="9"/>
  <c r="AI51" i="9"/>
  <c r="AI50" i="9"/>
  <c r="F54" i="13" s="1"/>
  <c r="AI49" i="9"/>
  <c r="AI48" i="9"/>
  <c r="F33" i="13" s="1"/>
  <c r="AI47" i="9"/>
  <c r="F22" i="13" s="1"/>
  <c r="AI46" i="9"/>
  <c r="AI44" i="9"/>
  <c r="AI43" i="9"/>
  <c r="AI42" i="9"/>
  <c r="AI40" i="9"/>
  <c r="E54" i="13" s="1"/>
  <c r="AI39" i="9"/>
  <c r="AI38" i="9"/>
  <c r="AI37" i="9"/>
  <c r="E22" i="13" s="1"/>
  <c r="AI36" i="9"/>
  <c r="AI34" i="9"/>
  <c r="AI33" i="9"/>
  <c r="D76" i="13" s="1"/>
  <c r="AI32" i="9"/>
  <c r="D65" i="13" s="1"/>
  <c r="AI31" i="9"/>
  <c r="AI30" i="9"/>
  <c r="D43" i="13" s="1"/>
  <c r="AI29" i="9"/>
  <c r="D33" i="13" s="1"/>
  <c r="AI28" i="9"/>
  <c r="D22" i="13" s="1"/>
  <c r="AI27" i="9"/>
  <c r="AI25" i="9"/>
  <c r="AI24" i="9"/>
  <c r="AI23" i="9"/>
  <c r="AI22" i="9"/>
  <c r="AI21" i="9"/>
  <c r="AI20" i="9"/>
  <c r="AI19" i="9"/>
  <c r="AI18" i="9"/>
  <c r="AK17" i="9"/>
  <c r="AI64" i="8"/>
  <c r="AI63" i="8"/>
  <c r="G75" i="13" s="1"/>
  <c r="AI62" i="8"/>
  <c r="G64" i="13" s="1"/>
  <c r="AI61" i="8"/>
  <c r="AI60" i="8"/>
  <c r="G53" i="13" s="1"/>
  <c r="AI59" i="8"/>
  <c r="AI58" i="8"/>
  <c r="G32" i="13" s="1"/>
  <c r="AI57" i="8"/>
  <c r="G21" i="13" s="1"/>
  <c r="AI56" i="8"/>
  <c r="AI54" i="8"/>
  <c r="AI53" i="8"/>
  <c r="F75" i="13" s="1"/>
  <c r="AI52" i="8"/>
  <c r="F64" i="13" s="1"/>
  <c r="AI51" i="8"/>
  <c r="AI50" i="8"/>
  <c r="F53" i="13" s="1"/>
  <c r="AI49" i="8"/>
  <c r="AI48" i="8"/>
  <c r="F32" i="13" s="1"/>
  <c r="AI47" i="8"/>
  <c r="F21" i="13" s="1"/>
  <c r="AI46" i="8"/>
  <c r="AI44" i="8"/>
  <c r="AI43" i="8"/>
  <c r="E75" i="13" s="1"/>
  <c r="AI42" i="8"/>
  <c r="E64" i="13" s="1"/>
  <c r="AI40" i="8"/>
  <c r="E53" i="13" s="1"/>
  <c r="AI39" i="8"/>
  <c r="E42" i="13" s="1"/>
  <c r="AI38" i="8"/>
  <c r="E32" i="13" s="1"/>
  <c r="AI37" i="8"/>
  <c r="E21" i="13" s="1"/>
  <c r="AI36" i="8"/>
  <c r="AI34" i="8"/>
  <c r="AI33" i="8"/>
  <c r="D75" i="13" s="1"/>
  <c r="AI32" i="8"/>
  <c r="D64" i="13" s="1"/>
  <c r="AI31" i="8"/>
  <c r="D53" i="13" s="1"/>
  <c r="AI30" i="8"/>
  <c r="D42" i="13" s="1"/>
  <c r="AI29" i="8"/>
  <c r="D32" i="13" s="1"/>
  <c r="AI27" i="8"/>
  <c r="AI25" i="8"/>
  <c r="AI24" i="8"/>
  <c r="AI23" i="8"/>
  <c r="AI22" i="8"/>
  <c r="AI21" i="8"/>
  <c r="AI20" i="8"/>
  <c r="AI19" i="8"/>
  <c r="AI18" i="8"/>
  <c r="AI64" i="7"/>
  <c r="AI63" i="7"/>
  <c r="AI62" i="7"/>
  <c r="AI61" i="7"/>
  <c r="AI60" i="7"/>
  <c r="G52" i="13" s="1"/>
  <c r="AI59" i="7"/>
  <c r="AI58" i="7"/>
  <c r="AI57" i="7"/>
  <c r="AI56" i="7"/>
  <c r="AI54" i="7"/>
  <c r="AI53" i="7"/>
  <c r="F74" i="13" s="1"/>
  <c r="AI52" i="7"/>
  <c r="AI51" i="7"/>
  <c r="AI50" i="7"/>
  <c r="F52" i="13" s="1"/>
  <c r="AI49" i="7"/>
  <c r="AI48" i="7"/>
  <c r="AI47" i="7"/>
  <c r="AI46" i="7"/>
  <c r="AI44" i="7"/>
  <c r="AI43" i="7"/>
  <c r="E74" i="13" s="1"/>
  <c r="AI42" i="7"/>
  <c r="E63" i="13" s="1"/>
  <c r="AI40" i="7"/>
  <c r="E52" i="13" s="1"/>
  <c r="AI39" i="7"/>
  <c r="E41" i="13" s="1"/>
  <c r="AI38" i="7"/>
  <c r="E31" i="13" s="1"/>
  <c r="AI37" i="7"/>
  <c r="AI36" i="7"/>
  <c r="AI34" i="7"/>
  <c r="AI33" i="7"/>
  <c r="AI32" i="7"/>
  <c r="AI31" i="7"/>
  <c r="D52" i="13" s="1"/>
  <c r="AI30" i="7"/>
  <c r="D41" i="13" s="1"/>
  <c r="AI29" i="7"/>
  <c r="D31" i="13" s="1"/>
  <c r="AI28" i="7"/>
  <c r="D20" i="13" s="1"/>
  <c r="AI27" i="7"/>
  <c r="AI25" i="7"/>
  <c r="AI24" i="7"/>
  <c r="AI23" i="7"/>
  <c r="AI22" i="7"/>
  <c r="AI21" i="7"/>
  <c r="AI20" i="7"/>
  <c r="AI19" i="7"/>
  <c r="AI18" i="7"/>
  <c r="AI64" i="6"/>
  <c r="AI63" i="6"/>
  <c r="G73" i="13" s="1"/>
  <c r="AI62" i="6"/>
  <c r="AI61" i="6"/>
  <c r="AI60" i="6"/>
  <c r="G51" i="13" s="1"/>
  <c r="AI59" i="6"/>
  <c r="AI58" i="6"/>
  <c r="AI57" i="6"/>
  <c r="G19" i="13" s="1"/>
  <c r="AI56" i="6"/>
  <c r="AI46" i="6"/>
  <c r="AI44" i="6"/>
  <c r="AI43" i="6"/>
  <c r="E73" i="13" s="1"/>
  <c r="AI42" i="6"/>
  <c r="AI40" i="6"/>
  <c r="E51" i="13" s="1"/>
  <c r="AI39" i="6"/>
  <c r="E40" i="13" s="1"/>
  <c r="AI38" i="6"/>
  <c r="AI37" i="6"/>
  <c r="E19" i="13" s="1"/>
  <c r="AI36" i="6"/>
  <c r="AI34" i="6"/>
  <c r="AI33" i="6"/>
  <c r="D73" i="13" s="1"/>
  <c r="AI32" i="6"/>
  <c r="D62" i="13" s="1"/>
  <c r="AI31" i="6"/>
  <c r="D51" i="13" s="1"/>
  <c r="AI30" i="6"/>
  <c r="D40" i="13" s="1"/>
  <c r="AI29" i="6"/>
  <c r="D30" i="13" s="1"/>
  <c r="AI28" i="6"/>
  <c r="AI27" i="6"/>
  <c r="AI25" i="6"/>
  <c r="AI24" i="6"/>
  <c r="AI23" i="6"/>
  <c r="AI22" i="6"/>
  <c r="AI21" i="6"/>
  <c r="AI20" i="6"/>
  <c r="AI19" i="6"/>
  <c r="AI18" i="6"/>
  <c r="AK17" i="3"/>
  <c r="AI55" i="5"/>
  <c r="AI54" i="5"/>
  <c r="AI53" i="5"/>
  <c r="AI52" i="5"/>
  <c r="AI51" i="5"/>
  <c r="AI50" i="5"/>
  <c r="AI49" i="5"/>
  <c r="AI48" i="5"/>
  <c r="AI47" i="5"/>
  <c r="AI45" i="5"/>
  <c r="AI44" i="5"/>
  <c r="AI43" i="5"/>
  <c r="AI42" i="5"/>
  <c r="AI41" i="5"/>
  <c r="AI40" i="5"/>
  <c r="AI39" i="5"/>
  <c r="AI38" i="5"/>
  <c r="AI37" i="5"/>
  <c r="AI35" i="5"/>
  <c r="AI34" i="5"/>
  <c r="AI33" i="5"/>
  <c r="AI36" i="5" s="1"/>
  <c r="AK36" i="5" s="1"/>
  <c r="AI31" i="5"/>
  <c r="AI30" i="5"/>
  <c r="AI29" i="5"/>
  <c r="AI28" i="5"/>
  <c r="AI27" i="5"/>
  <c r="AI25" i="5"/>
  <c r="AI24" i="5"/>
  <c r="AI23" i="5"/>
  <c r="AI22" i="5"/>
  <c r="AI21" i="5"/>
  <c r="AI20" i="5"/>
  <c r="AI19" i="5"/>
  <c r="AI18" i="5"/>
  <c r="AI16" i="5"/>
  <c r="AI15" i="5"/>
  <c r="AI14" i="5"/>
  <c r="AI13" i="5"/>
  <c r="AI12" i="5"/>
  <c r="AI11" i="5"/>
  <c r="AI10" i="5"/>
  <c r="AI9" i="5"/>
  <c r="AI17" i="5" s="1"/>
  <c r="AK17" i="5" s="1"/>
  <c r="N82" i="13" l="1"/>
  <c r="N88" i="13"/>
  <c r="N94" i="13"/>
  <c r="N95" i="13"/>
  <c r="N81" i="13"/>
  <c r="N93" i="13"/>
  <c r="N84" i="13"/>
  <c r="N98" i="13"/>
  <c r="N91" i="13"/>
  <c r="N102" i="13"/>
  <c r="N92" i="13"/>
  <c r="N85" i="13"/>
  <c r="N6" i="13"/>
  <c r="AI113" i="2"/>
  <c r="AK113" i="2" s="1"/>
  <c r="AI149" i="2"/>
  <c r="AK149" i="2" s="1"/>
  <c r="AI101" i="2"/>
  <c r="AK101" i="2" s="1"/>
  <c r="AI137" i="2"/>
  <c r="AK137" i="2" s="1"/>
  <c r="AI125" i="2"/>
  <c r="AK125" i="2" s="1"/>
  <c r="AI89" i="2"/>
  <c r="AK89" i="2" s="1"/>
  <c r="AI65" i="2"/>
  <c r="AI53" i="2"/>
  <c r="AI19" i="2"/>
  <c r="AK19" i="2" s="1"/>
  <c r="N75" i="13"/>
  <c r="N76" i="13"/>
  <c r="AI45" i="12"/>
  <c r="AK45" i="12" s="1"/>
  <c r="N77" i="13"/>
  <c r="AI45" i="10"/>
  <c r="AK45" i="10" s="1"/>
  <c r="AI35" i="10"/>
  <c r="AK35" i="10" s="1"/>
  <c r="G33" i="13"/>
  <c r="AI45" i="9"/>
  <c r="AK45" i="9" s="1"/>
  <c r="E33" i="13"/>
  <c r="F42" i="13"/>
  <c r="AI45" i="8"/>
  <c r="AK45" i="8" s="1"/>
  <c r="AI65" i="7"/>
  <c r="AM65" i="7" s="1"/>
  <c r="N62" i="13"/>
  <c r="N73" i="13"/>
  <c r="AI45" i="7"/>
  <c r="AM45" i="7" s="1"/>
  <c r="AI35" i="7"/>
  <c r="AM35" i="7" s="1"/>
  <c r="N52" i="13"/>
  <c r="N74" i="13"/>
  <c r="N63" i="13"/>
  <c r="N65" i="13"/>
  <c r="N64" i="13"/>
  <c r="N44" i="13"/>
  <c r="N55" i="13"/>
  <c r="N53" i="13"/>
  <c r="N40" i="13"/>
  <c r="N51" i="13"/>
  <c r="N42" i="13"/>
  <c r="N66" i="13"/>
  <c r="N54" i="13"/>
  <c r="N21" i="13"/>
  <c r="N43" i="13"/>
  <c r="N41" i="13"/>
  <c r="N34" i="13"/>
  <c r="N33" i="13"/>
  <c r="N32" i="13"/>
  <c r="N31" i="13"/>
  <c r="N30" i="13"/>
  <c r="N24" i="13"/>
  <c r="N22" i="13"/>
  <c r="AI35" i="8"/>
  <c r="AK35" i="8" s="1"/>
  <c r="N20" i="13"/>
  <c r="N19" i="13"/>
  <c r="AI55" i="7"/>
  <c r="AK55" i="7" s="1"/>
  <c r="AI65" i="8"/>
  <c r="AK65" i="8" s="1"/>
  <c r="AI35" i="6"/>
  <c r="AK35" i="6" s="1"/>
  <c r="AI55" i="8"/>
  <c r="AK55" i="8" s="1"/>
  <c r="AI65" i="9"/>
  <c r="AK65" i="9" s="1"/>
  <c r="AI65" i="12"/>
  <c r="AK65" i="12" s="1"/>
  <c r="AI55" i="6"/>
  <c r="AK55" i="6" s="1"/>
  <c r="AI35" i="12"/>
  <c r="AK35" i="12" s="1"/>
  <c r="AI26" i="5"/>
  <c r="AK26" i="5" s="1"/>
  <c r="AI35" i="9"/>
  <c r="AK35" i="9" s="1"/>
  <c r="AI56" i="5"/>
  <c r="AK56" i="5" s="1"/>
  <c r="AI26" i="6"/>
  <c r="AK26" i="6" s="1"/>
  <c r="AI55" i="9"/>
  <c r="AK55" i="9" s="1"/>
  <c r="AI55" i="12"/>
  <c r="AK55" i="12" s="1"/>
  <c r="AI65" i="6"/>
  <c r="AK65" i="6" s="1"/>
  <c r="AI46" i="5"/>
  <c r="AK46" i="5" s="1"/>
  <c r="AI45" i="6"/>
  <c r="AK45" i="6" s="1"/>
  <c r="AI55" i="10"/>
  <c r="AK55" i="10" s="1"/>
  <c r="AI26" i="12"/>
  <c r="AK26" i="12" s="1"/>
  <c r="AI26" i="10"/>
  <c r="AK26" i="10" s="1"/>
  <c r="AI26" i="9"/>
  <c r="AK26" i="9" s="1"/>
  <c r="AI26" i="8"/>
  <c r="AK26" i="8" s="1"/>
  <c r="AI26" i="7"/>
  <c r="AK26" i="7" s="1"/>
  <c r="AI64" i="3"/>
  <c r="AI63" i="3"/>
  <c r="AI62" i="3"/>
  <c r="AI61" i="3"/>
  <c r="AI60" i="3"/>
  <c r="AI59" i="3"/>
  <c r="G38" i="13" s="1"/>
  <c r="AI58" i="3"/>
  <c r="AI57" i="3"/>
  <c r="AI56" i="3"/>
  <c r="AI54" i="3"/>
  <c r="AI53" i="3"/>
  <c r="F72" i="13" s="1"/>
  <c r="AI52" i="3"/>
  <c r="AI51" i="3"/>
  <c r="AI50" i="3"/>
  <c r="F50" i="13" s="1"/>
  <c r="AI49" i="3"/>
  <c r="AI48" i="3"/>
  <c r="AI47" i="3"/>
  <c r="F18" i="13" s="1"/>
  <c r="AI46" i="3"/>
  <c r="AI44" i="3"/>
  <c r="AI43" i="3"/>
  <c r="E72" i="13" s="1"/>
  <c r="AI42" i="3"/>
  <c r="E61" i="13" s="1"/>
  <c r="AI40" i="3"/>
  <c r="E50" i="13" s="1"/>
  <c r="AI39" i="3"/>
  <c r="AI38" i="3"/>
  <c r="AI37" i="3"/>
  <c r="E18" i="13" s="1"/>
  <c r="AI36" i="3"/>
  <c r="AI34" i="3"/>
  <c r="AI33" i="3"/>
  <c r="D72" i="13" s="1"/>
  <c r="AI32" i="3"/>
  <c r="D61" i="13" s="1"/>
  <c r="AI31" i="3"/>
  <c r="D50" i="13" s="1"/>
  <c r="AI30" i="3"/>
  <c r="D39" i="13" s="1"/>
  <c r="N39" i="13" s="1"/>
  <c r="AI29" i="3"/>
  <c r="D29" i="13" s="1"/>
  <c r="N29" i="13" s="1"/>
  <c r="AI28" i="3"/>
  <c r="D18" i="13" s="1"/>
  <c r="N18" i="13" s="1"/>
  <c r="AI27" i="3"/>
  <c r="AI25" i="3"/>
  <c r="AI24" i="3"/>
  <c r="AI23" i="3"/>
  <c r="C61" i="13" s="1"/>
  <c r="AI22" i="3"/>
  <c r="C50" i="13" s="1"/>
  <c r="AI21" i="3"/>
  <c r="AI20" i="3"/>
  <c r="AI19" i="3"/>
  <c r="AI18" i="3"/>
  <c r="D17" i="13"/>
  <c r="D28" i="13"/>
  <c r="D38" i="13"/>
  <c r="D49" i="13"/>
  <c r="D60" i="13"/>
  <c r="D71" i="13"/>
  <c r="G50" i="13" l="1"/>
  <c r="G49" i="13"/>
  <c r="N72" i="13"/>
  <c r="N50" i="13"/>
  <c r="N61" i="13"/>
  <c r="AI26" i="3"/>
  <c r="AK26" i="3" s="1"/>
  <c r="AI65" i="3"/>
  <c r="AK65" i="3" s="1"/>
  <c r="AI55" i="3"/>
  <c r="AK55" i="3" s="1"/>
  <c r="AI45" i="3"/>
  <c r="AK45" i="3" s="1"/>
  <c r="AI35" i="3"/>
  <c r="AK35" i="3" s="1"/>
  <c r="G17" i="13" l="1"/>
  <c r="F17" i="13"/>
  <c r="F28" i="13"/>
  <c r="F38" i="13"/>
  <c r="F49" i="13"/>
  <c r="F60" i="13"/>
  <c r="F71" i="13"/>
  <c r="E17" i="13"/>
  <c r="E28" i="13"/>
  <c r="E38" i="13"/>
  <c r="E49" i="13"/>
  <c r="E60" i="13"/>
  <c r="E71" i="13"/>
  <c r="C17" i="13"/>
  <c r="N17" i="13" s="1"/>
  <c r="C28" i="13"/>
  <c r="N28" i="13" s="1"/>
  <c r="C38" i="13"/>
  <c r="N38" i="13" s="1"/>
  <c r="C49" i="13"/>
  <c r="N49" i="13" s="1"/>
  <c r="C60" i="13"/>
  <c r="N60" i="13" s="1"/>
  <c r="C71" i="13"/>
  <c r="N71" i="13" s="1"/>
  <c r="AK65" i="2" l="1"/>
  <c r="AI77" i="2"/>
  <c r="AK77" i="2" s="1"/>
  <c r="AK53" i="2"/>
  <c r="AI30" i="2"/>
  <c r="AK30" i="2" s="1"/>
  <c r="AI41" i="2"/>
  <c r="AK41" i="2" s="1"/>
</calcChain>
</file>

<file path=xl/sharedStrings.xml><?xml version="1.0" encoding="utf-8"?>
<sst xmlns="http://schemas.openxmlformats.org/spreadsheetml/2006/main" count="6957" uniqueCount="86">
  <si>
    <t>Monat</t>
  </si>
  <si>
    <t>Projekt</t>
  </si>
  <si>
    <t>MA:</t>
  </si>
  <si>
    <t>Jahr</t>
  </si>
  <si>
    <t xml:space="preserve">Arbeitstag </t>
  </si>
  <si>
    <t>August</t>
  </si>
  <si>
    <t>STIMULATE</t>
  </si>
  <si>
    <t>MR ASSIST</t>
  </si>
  <si>
    <t>ESSENCE</t>
  </si>
  <si>
    <t>TEXWELD</t>
  </si>
  <si>
    <t>ENKOS</t>
  </si>
  <si>
    <t>AREALIGHT</t>
  </si>
  <si>
    <t>HEATFLUXTEX</t>
  </si>
  <si>
    <t>IDLE</t>
  </si>
  <si>
    <t xml:space="preserve">September </t>
  </si>
  <si>
    <t>Oktober</t>
  </si>
  <si>
    <t>POLYVETEX</t>
  </si>
  <si>
    <t>Mitarbeiter:</t>
  </si>
  <si>
    <t>November</t>
  </si>
  <si>
    <t>Dezember</t>
  </si>
  <si>
    <t>/</t>
  </si>
  <si>
    <t>/ = Wochenende</t>
  </si>
  <si>
    <t>U=Urlaub</t>
  </si>
  <si>
    <t>K=Krank</t>
  </si>
  <si>
    <t>KK=Kindkrank</t>
  </si>
  <si>
    <t>F</t>
  </si>
  <si>
    <t>F=Feiertag</t>
  </si>
  <si>
    <t>4 Stunden</t>
  </si>
  <si>
    <t>21 Arbeitstage</t>
  </si>
  <si>
    <t>22 Arbeitstage</t>
  </si>
  <si>
    <t>2 F</t>
  </si>
  <si>
    <t>20 Arbeitstage</t>
  </si>
  <si>
    <t>Lars Bölecke</t>
  </si>
  <si>
    <t>U</t>
  </si>
  <si>
    <t>Arbeitsstunden</t>
  </si>
  <si>
    <t>FLEXTEXIR</t>
  </si>
  <si>
    <t>Urlaubstunden</t>
  </si>
  <si>
    <t>Feiertag</t>
  </si>
  <si>
    <t>15 Arbeitstage</t>
  </si>
  <si>
    <t>6 Betrieburlaub</t>
  </si>
  <si>
    <t>Lena Sergio</t>
  </si>
  <si>
    <t>Juli</t>
  </si>
  <si>
    <t>23 Arbeitstage</t>
  </si>
  <si>
    <t>Sabrina Froschauer</t>
  </si>
  <si>
    <t>Karen Jimenez Taube</t>
  </si>
  <si>
    <t>Ron Jacob</t>
  </si>
  <si>
    <t>Lucas Hauser</t>
  </si>
  <si>
    <t>Thomas Juhlemann</t>
  </si>
  <si>
    <t>Daniela Zavec</t>
  </si>
  <si>
    <t>K</t>
  </si>
  <si>
    <t>X</t>
  </si>
  <si>
    <r>
      <rPr>
        <sz val="11"/>
        <color theme="8"/>
        <rFont val="Aptos Narrow"/>
        <family val="2"/>
        <scheme val="minor"/>
      </rPr>
      <t>X= freier Tag von Ron (4-Tage-Woche</t>
    </r>
    <r>
      <rPr>
        <sz val="11"/>
        <color theme="1"/>
        <rFont val="Aptos Narrow"/>
        <family val="2"/>
        <scheme val="minor"/>
      </rPr>
      <t>)</t>
    </r>
  </si>
  <si>
    <t>x</t>
  </si>
  <si>
    <t>Stunden pro Projekt</t>
  </si>
  <si>
    <t>September</t>
  </si>
  <si>
    <t>Lars</t>
  </si>
  <si>
    <t>Lena</t>
  </si>
  <si>
    <t>Sabrina</t>
  </si>
  <si>
    <t>Karen</t>
  </si>
  <si>
    <t>Ron</t>
  </si>
  <si>
    <t>Lucas</t>
  </si>
  <si>
    <t>Daniela</t>
  </si>
  <si>
    <t>Total</t>
  </si>
  <si>
    <t>4 Stunden - 24 Dezember</t>
  </si>
  <si>
    <t>4 Stunden - 31 Dezember</t>
  </si>
  <si>
    <t>Krank</t>
  </si>
  <si>
    <t>Januar</t>
  </si>
  <si>
    <t>Februar</t>
  </si>
  <si>
    <t>März</t>
  </si>
  <si>
    <t>April</t>
  </si>
  <si>
    <t>Mai</t>
  </si>
  <si>
    <t>Juni</t>
  </si>
  <si>
    <t xml:space="preserve">Oktober </t>
  </si>
  <si>
    <t xml:space="preserve">November </t>
  </si>
  <si>
    <t>Mayuresh</t>
  </si>
  <si>
    <t>SOLARGROW</t>
  </si>
  <si>
    <t>22  Arbeitstage</t>
  </si>
  <si>
    <t>1 F</t>
  </si>
  <si>
    <t>17 Arbeitstage</t>
  </si>
  <si>
    <t>1Betrieburlaub</t>
  </si>
  <si>
    <t>FLEXtexIR</t>
  </si>
  <si>
    <t>14 Arbeitstage</t>
  </si>
  <si>
    <t>20  Arbeitstage</t>
  </si>
  <si>
    <t>1 Feiertag</t>
  </si>
  <si>
    <t>3 Feiertage</t>
  </si>
  <si>
    <t>1 Betriebsurlaub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</si>
</sst>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F3F76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76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4"/>
      <color rgb="FFFF0000"/>
      <name val="Aptos Narrow"/>
      <scheme val="minor"/>
    </font>
    <font>
      <sz val="16"/>
      <color rgb="FFFF0000"/>
      <name val="Aptos Narrow"/>
      <family val="2"/>
      <scheme val="minor"/>
    </font>
    <font>
      <b/>
      <sz val="14"/>
      <color theme="3" tint="0.249977111117893"/>
      <name val="Aptos Narrow"/>
      <family val="2"/>
      <scheme val="minor"/>
    </font>
    <font>
      <b/>
      <sz val="18"/>
      <color theme="3" tint="0.249977111117893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  <xf numFmtId="0" fontId="9" fillId="7" borderId="0" applyNumberFormat="0" applyBorder="0" applyAlignment="0" applyProtection="0"/>
  </cellStyleXfs>
  <cellXfs count="36">
    <xf numFmtId="0" fontId="0" fillId="0" borderId="0" xfId="0"/>
    <xf numFmtId="0" fontId="0" fillId="4" borderId="0" xfId="0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/>
    <xf numFmtId="0" fontId="4" fillId="0" borderId="0" xfId="0" applyFont="1"/>
    <xf numFmtId="0" fontId="4" fillId="5" borderId="0" xfId="0" applyFont="1" applyFill="1"/>
    <xf numFmtId="0" fontId="4" fillId="0" borderId="0" xfId="0" applyFont="1" applyAlignment="1">
      <alignment horizontal="center"/>
    </xf>
    <xf numFmtId="0" fontId="0" fillId="6" borderId="0" xfId="0" applyFill="1"/>
    <xf numFmtId="0" fontId="1" fillId="2" borderId="1" xfId="1" applyAlignment="1">
      <alignment horizontal="center"/>
    </xf>
    <xf numFmtId="0" fontId="5" fillId="2" borderId="1" xfId="1" applyFont="1" applyAlignment="1">
      <alignment horizontal="center"/>
    </xf>
    <xf numFmtId="0" fontId="2" fillId="3" borderId="1" xfId="2"/>
    <xf numFmtId="0" fontId="0" fillId="6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7" fillId="2" borderId="1" xfId="1" applyFont="1" applyAlignment="1">
      <alignment horizontal="center"/>
    </xf>
    <xf numFmtId="0" fontId="8" fillId="2" borderId="1" xfId="1" applyFont="1" applyAlignment="1">
      <alignment horizontal="center"/>
    </xf>
    <xf numFmtId="0" fontId="4" fillId="8" borderId="0" xfId="0" applyFont="1" applyFill="1"/>
    <xf numFmtId="0" fontId="4" fillId="4" borderId="0" xfId="0" applyFont="1" applyFill="1" applyAlignment="1">
      <alignment horizontal="center"/>
    </xf>
    <xf numFmtId="0" fontId="9" fillId="7" borderId="0" xfId="3" applyAlignment="1">
      <alignment horizontal="center"/>
    </xf>
    <xf numFmtId="0" fontId="4" fillId="4" borderId="0" xfId="0" applyFont="1" applyFill="1"/>
    <xf numFmtId="0" fontId="0" fillId="8" borderId="0" xfId="0" applyFill="1" applyAlignment="1">
      <alignment horizontal="center"/>
    </xf>
    <xf numFmtId="0" fontId="3" fillId="9" borderId="0" xfId="0" applyFont="1" applyFill="1"/>
    <xf numFmtId="0" fontId="10" fillId="2" borderId="1" xfId="1" applyFont="1" applyAlignment="1">
      <alignment horizontal="center"/>
    </xf>
    <xf numFmtId="0" fontId="10" fillId="4" borderId="0" xfId="0" applyFont="1" applyFill="1" applyAlignment="1">
      <alignment horizontal="center"/>
    </xf>
    <xf numFmtId="2" fontId="0" fillId="0" borderId="0" xfId="0" applyNumberFormat="1"/>
    <xf numFmtId="2" fontId="7" fillId="2" borderId="1" xfId="1" applyNumberFormat="1" applyFont="1" applyAlignment="1">
      <alignment horizontal="center"/>
    </xf>
    <xf numFmtId="0" fontId="11" fillId="10" borderId="2" xfId="0" applyFont="1" applyFill="1" applyBorder="1"/>
    <xf numFmtId="0" fontId="0" fillId="10" borderId="2" xfId="0" applyFill="1" applyBorder="1"/>
    <xf numFmtId="0" fontId="12" fillId="3" borderId="1" xfId="2" applyFont="1"/>
    <xf numFmtId="0" fontId="13" fillId="3" borderId="1" xfId="2" applyFont="1" applyAlignment="1">
      <alignment horizontal="center"/>
    </xf>
    <xf numFmtId="0" fontId="14" fillId="3" borderId="1" xfId="2" applyFont="1"/>
    <xf numFmtId="14" fontId="14" fillId="3" borderId="1" xfId="2" applyNumberFormat="1" applyFont="1"/>
    <xf numFmtId="0" fontId="12" fillId="3" borderId="1" xfId="2" applyFont="1" applyAlignment="1">
      <alignment horizontal="center"/>
    </xf>
    <xf numFmtId="0" fontId="15" fillId="8" borderId="0" xfId="0" applyFont="1" applyFill="1"/>
    <xf numFmtId="0" fontId="0" fillId="0" borderId="0" xfId="0" applyNumberFormat="1"/>
  </cellXfs>
  <cellStyles count="4">
    <cellStyle name="Calculation" xfId="2" builtinId="22"/>
    <cellStyle name="Good" xfId="3" builtinId="26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26727-296B-4858-94BF-B98285AB2847}">
  <dimension ref="A1:AK149"/>
  <sheetViews>
    <sheetView tabSelected="1" zoomScale="140" zoomScaleNormal="140" workbookViewId="0">
      <selection activeCell="AI20" sqref="AI20"/>
    </sheetView>
  </sheetViews>
  <sheetFormatPr baseColWidth="10" defaultRowHeight="19" x14ac:dyDescent="0.25"/>
  <cols>
    <col min="1" max="1" width="14.83203125" customWidth="1"/>
    <col min="2" max="2" width="16" customWidth="1"/>
    <col min="3" max="3" width="16.1640625" customWidth="1"/>
    <col min="4" max="4" width="7.83203125" customWidth="1"/>
    <col min="5" max="5" width="6.6640625" customWidth="1"/>
    <col min="6" max="6" width="10" customWidth="1"/>
    <col min="7" max="34" width="6.6640625" customWidth="1"/>
    <col min="35" max="35" width="20.33203125" style="15" customWidth="1"/>
    <col min="36" max="36" width="15.33203125" customWidth="1"/>
  </cols>
  <sheetData>
    <row r="1" spans="1:37" s="31" customFormat="1" ht="24" x14ac:dyDescent="0.3">
      <c r="A1" s="29" t="s">
        <v>3</v>
      </c>
      <c r="B1" s="30">
        <v>2026</v>
      </c>
      <c r="F1" s="29" t="s">
        <v>21</v>
      </c>
      <c r="Z1" s="32"/>
      <c r="AB1" s="29" t="s">
        <v>63</v>
      </c>
      <c r="AI1" s="33"/>
    </row>
    <row r="2" spans="1:37" s="31" customFormat="1" ht="24" x14ac:dyDescent="0.3">
      <c r="A2" s="29" t="s">
        <v>2</v>
      </c>
      <c r="B2" s="30" t="s">
        <v>32</v>
      </c>
      <c r="F2" s="29" t="s">
        <v>22</v>
      </c>
      <c r="AB2" s="29" t="s">
        <v>64</v>
      </c>
      <c r="AI2" s="33"/>
    </row>
    <row r="3" spans="1:37" s="31" customFormat="1" x14ac:dyDescent="0.25">
      <c r="F3" s="29" t="s">
        <v>23</v>
      </c>
      <c r="AI3" s="33"/>
    </row>
    <row r="4" spans="1:37" s="31" customFormat="1" x14ac:dyDescent="0.25">
      <c r="F4" s="29" t="s">
        <v>24</v>
      </c>
      <c r="AI4" s="33"/>
    </row>
    <row r="5" spans="1:37" s="31" customFormat="1" x14ac:dyDescent="0.25">
      <c r="F5" s="29" t="s">
        <v>26</v>
      </c>
      <c r="AI5" s="33"/>
    </row>
    <row r="7" spans="1:37" ht="22" x14ac:dyDescent="0.3">
      <c r="D7" s="27" t="s">
        <v>4</v>
      </c>
      <c r="E7" s="28"/>
    </row>
    <row r="8" spans="1:37" s="24" customFormat="1" x14ac:dyDescent="0.25">
      <c r="B8" s="24" t="s">
        <v>0</v>
      </c>
      <c r="C8" s="24" t="s">
        <v>1</v>
      </c>
      <c r="D8" s="24">
        <v>1</v>
      </c>
      <c r="E8" s="24">
        <v>2</v>
      </c>
      <c r="F8" s="24">
        <v>3</v>
      </c>
      <c r="G8" s="24">
        <v>4</v>
      </c>
      <c r="H8" s="24">
        <v>5</v>
      </c>
      <c r="I8" s="24">
        <v>6</v>
      </c>
      <c r="J8" s="24">
        <v>7</v>
      </c>
      <c r="K8" s="24">
        <v>8</v>
      </c>
      <c r="L8" s="24">
        <v>9</v>
      </c>
      <c r="M8" s="24">
        <v>10</v>
      </c>
      <c r="N8" s="24">
        <v>11</v>
      </c>
      <c r="O8" s="24">
        <v>12</v>
      </c>
      <c r="P8" s="24">
        <v>13</v>
      </c>
      <c r="Q8" s="24">
        <v>14</v>
      </c>
      <c r="R8" s="24">
        <v>15</v>
      </c>
      <c r="S8" s="24">
        <v>16</v>
      </c>
      <c r="T8" s="24">
        <v>17</v>
      </c>
      <c r="U8" s="24">
        <v>18</v>
      </c>
      <c r="V8" s="24">
        <v>19</v>
      </c>
      <c r="W8" s="24">
        <v>20</v>
      </c>
      <c r="X8" s="24">
        <v>21</v>
      </c>
      <c r="Y8" s="24">
        <v>22</v>
      </c>
      <c r="Z8" s="24">
        <v>23</v>
      </c>
      <c r="AA8" s="24">
        <v>24</v>
      </c>
      <c r="AB8" s="24">
        <v>25</v>
      </c>
      <c r="AC8" s="24">
        <v>26</v>
      </c>
      <c r="AD8" s="24">
        <v>27</v>
      </c>
      <c r="AE8" s="24">
        <v>28</v>
      </c>
      <c r="AF8" s="24">
        <v>29</v>
      </c>
      <c r="AG8" s="24">
        <v>30</v>
      </c>
      <c r="AH8" s="24">
        <v>31</v>
      </c>
      <c r="AI8" s="23" t="s">
        <v>34</v>
      </c>
      <c r="AJ8" s="24" t="s">
        <v>36</v>
      </c>
      <c r="AK8" s="24" t="s">
        <v>37</v>
      </c>
    </row>
    <row r="9" spans="1:37" x14ac:dyDescent="0.25">
      <c r="B9" s="6" t="s">
        <v>66</v>
      </c>
      <c r="C9" t="s">
        <v>16</v>
      </c>
      <c r="D9" s="4" t="s">
        <v>25</v>
      </c>
      <c r="E9" s="2" t="s">
        <v>33</v>
      </c>
      <c r="F9" s="2" t="s">
        <v>20</v>
      </c>
      <c r="G9" s="2" t="s">
        <v>20</v>
      </c>
      <c r="J9" s="2"/>
      <c r="K9" s="2"/>
      <c r="L9" s="2"/>
      <c r="M9" s="2" t="s">
        <v>20</v>
      </c>
      <c r="N9" s="2" t="s">
        <v>20</v>
      </c>
      <c r="Q9" s="2"/>
      <c r="R9" s="2"/>
      <c r="S9" s="2"/>
      <c r="T9" s="2" t="s">
        <v>20</v>
      </c>
      <c r="U9" s="2" t="s">
        <v>20</v>
      </c>
      <c r="X9" s="2"/>
      <c r="Y9" s="2"/>
      <c r="Z9" s="2"/>
      <c r="AA9" s="2" t="s">
        <v>20</v>
      </c>
      <c r="AB9" s="2" t="s">
        <v>20</v>
      </c>
      <c r="AE9" s="2"/>
      <c r="AF9" s="2"/>
      <c r="AG9" s="2"/>
      <c r="AH9" s="2" t="s">
        <v>20</v>
      </c>
      <c r="AI9" s="15">
        <f>SUM(D9:E9,H9:L9,O9:S9,V9:Z9,AC9:AG9)</f>
        <v>0</v>
      </c>
      <c r="AJ9" s="2">
        <v>8</v>
      </c>
      <c r="AK9" s="2">
        <v>8</v>
      </c>
    </row>
    <row r="10" spans="1:37" x14ac:dyDescent="0.25">
      <c r="C10" t="s">
        <v>10</v>
      </c>
      <c r="D10" s="4" t="s">
        <v>25</v>
      </c>
      <c r="E10" s="2" t="s">
        <v>33</v>
      </c>
      <c r="F10" s="2" t="s">
        <v>20</v>
      </c>
      <c r="G10" s="2" t="s">
        <v>20</v>
      </c>
      <c r="J10" s="2"/>
      <c r="K10" s="2"/>
      <c r="L10" s="2"/>
      <c r="M10" s="2" t="s">
        <v>20</v>
      </c>
      <c r="N10" s="2" t="s">
        <v>20</v>
      </c>
      <c r="Q10" s="2"/>
      <c r="R10" s="2"/>
      <c r="S10" s="2"/>
      <c r="T10" s="2" t="s">
        <v>20</v>
      </c>
      <c r="U10" s="2" t="s">
        <v>20</v>
      </c>
      <c r="X10" s="2"/>
      <c r="Y10" s="2"/>
      <c r="Z10" s="2"/>
      <c r="AA10" s="2" t="s">
        <v>20</v>
      </c>
      <c r="AB10" s="2" t="s">
        <v>20</v>
      </c>
      <c r="AE10" s="2"/>
      <c r="AF10" s="2"/>
      <c r="AG10" s="2"/>
      <c r="AH10" s="2" t="s">
        <v>20</v>
      </c>
      <c r="AI10" s="15">
        <f t="shared" ref="AI10:AI18" si="0">SUM(D10:E10,H10:L10,O10:S10,V10:Z10,AC10:AG10)</f>
        <v>0</v>
      </c>
      <c r="AJ10" s="2"/>
      <c r="AK10" s="2"/>
    </row>
    <row r="11" spans="1:37" x14ac:dyDescent="0.25">
      <c r="B11" t="s">
        <v>82</v>
      </c>
      <c r="C11" t="s">
        <v>8</v>
      </c>
      <c r="D11" s="4" t="s">
        <v>25</v>
      </c>
      <c r="E11" s="2" t="s">
        <v>33</v>
      </c>
      <c r="F11" s="2" t="s">
        <v>20</v>
      </c>
      <c r="G11" s="2" t="s">
        <v>20</v>
      </c>
      <c r="J11" s="2"/>
      <c r="K11" s="2"/>
      <c r="L11" s="2"/>
      <c r="M11" s="2" t="s">
        <v>20</v>
      </c>
      <c r="N11" s="2" t="s">
        <v>20</v>
      </c>
      <c r="Q11" s="2"/>
      <c r="R11" s="2"/>
      <c r="S11" s="2"/>
      <c r="T11" s="2" t="s">
        <v>20</v>
      </c>
      <c r="U11" s="2" t="s">
        <v>20</v>
      </c>
      <c r="X11" s="2"/>
      <c r="Y11" s="2"/>
      <c r="Z11" s="2"/>
      <c r="AA11" s="2" t="s">
        <v>20</v>
      </c>
      <c r="AB11" s="2" t="s">
        <v>20</v>
      </c>
      <c r="AE11" s="2"/>
      <c r="AF11" s="2"/>
      <c r="AG11" s="2"/>
      <c r="AH11" s="2" t="s">
        <v>20</v>
      </c>
      <c r="AI11" s="15">
        <f t="shared" si="0"/>
        <v>0</v>
      </c>
      <c r="AJ11" s="2"/>
      <c r="AK11" s="2"/>
    </row>
    <row r="12" spans="1:37" x14ac:dyDescent="0.25">
      <c r="C12" t="s">
        <v>13</v>
      </c>
      <c r="D12" s="4" t="s">
        <v>25</v>
      </c>
      <c r="E12" s="2" t="s">
        <v>33</v>
      </c>
      <c r="F12" s="2" t="s">
        <v>20</v>
      </c>
      <c r="G12" s="2" t="s">
        <v>20</v>
      </c>
      <c r="J12" s="2"/>
      <c r="K12" s="2"/>
      <c r="L12" s="2"/>
      <c r="M12" s="2" t="s">
        <v>20</v>
      </c>
      <c r="N12" s="2" t="s">
        <v>20</v>
      </c>
      <c r="Q12" s="2"/>
      <c r="R12" s="2"/>
      <c r="S12" s="2"/>
      <c r="T12" s="2" t="s">
        <v>20</v>
      </c>
      <c r="U12" s="2" t="s">
        <v>20</v>
      </c>
      <c r="X12" s="2"/>
      <c r="Y12" s="2"/>
      <c r="Z12" s="2"/>
      <c r="AA12" s="2" t="s">
        <v>20</v>
      </c>
      <c r="AB12" s="2" t="s">
        <v>20</v>
      </c>
      <c r="AE12" s="2"/>
      <c r="AF12" s="2"/>
      <c r="AG12" s="2"/>
      <c r="AH12" s="2" t="s">
        <v>20</v>
      </c>
      <c r="AI12" s="15">
        <f t="shared" si="0"/>
        <v>0</v>
      </c>
      <c r="AJ12" s="2"/>
      <c r="AK12" s="2"/>
    </row>
    <row r="13" spans="1:37" x14ac:dyDescent="0.25">
      <c r="B13" s="8">
        <v>160</v>
      </c>
      <c r="C13" t="s">
        <v>11</v>
      </c>
      <c r="D13" s="4" t="s">
        <v>25</v>
      </c>
      <c r="E13" s="2" t="s">
        <v>33</v>
      </c>
      <c r="F13" s="2" t="s">
        <v>20</v>
      </c>
      <c r="G13" s="2" t="s">
        <v>20</v>
      </c>
      <c r="J13" s="2"/>
      <c r="K13" s="2"/>
      <c r="L13" s="2"/>
      <c r="M13" s="2" t="s">
        <v>20</v>
      </c>
      <c r="N13" s="2" t="s">
        <v>20</v>
      </c>
      <c r="Q13" s="2"/>
      <c r="R13" s="2"/>
      <c r="S13" s="2"/>
      <c r="T13" s="2" t="s">
        <v>20</v>
      </c>
      <c r="U13" s="2" t="s">
        <v>20</v>
      </c>
      <c r="X13" s="2"/>
      <c r="Y13" s="2"/>
      <c r="Z13" s="2"/>
      <c r="AA13" s="2" t="s">
        <v>20</v>
      </c>
      <c r="AB13" s="2" t="s">
        <v>20</v>
      </c>
      <c r="AE13" s="2"/>
      <c r="AF13" s="2"/>
      <c r="AG13" s="2"/>
      <c r="AH13" s="2" t="s">
        <v>20</v>
      </c>
      <c r="AI13" s="15">
        <f t="shared" si="0"/>
        <v>0</v>
      </c>
      <c r="AJ13" s="2"/>
      <c r="AK13" s="2"/>
    </row>
    <row r="14" spans="1:37" x14ac:dyDescent="0.25">
      <c r="C14" t="s">
        <v>7</v>
      </c>
      <c r="D14" s="4" t="s">
        <v>25</v>
      </c>
      <c r="E14" s="2" t="s">
        <v>33</v>
      </c>
      <c r="F14" s="2" t="s">
        <v>20</v>
      </c>
      <c r="G14" s="2" t="s">
        <v>20</v>
      </c>
      <c r="J14" s="2"/>
      <c r="K14" s="2"/>
      <c r="L14" s="2"/>
      <c r="M14" s="2" t="s">
        <v>20</v>
      </c>
      <c r="N14" s="2" t="s">
        <v>20</v>
      </c>
      <c r="Q14" s="2"/>
      <c r="R14" s="2"/>
      <c r="S14" s="2"/>
      <c r="T14" s="2" t="s">
        <v>20</v>
      </c>
      <c r="U14" s="2" t="s">
        <v>20</v>
      </c>
      <c r="X14" s="2"/>
      <c r="Y14" s="2"/>
      <c r="Z14" s="2"/>
      <c r="AA14" s="2" t="s">
        <v>20</v>
      </c>
      <c r="AB14" s="2" t="s">
        <v>20</v>
      </c>
      <c r="AE14" s="2"/>
      <c r="AF14" s="2"/>
      <c r="AG14" s="2"/>
      <c r="AH14" s="2" t="s">
        <v>20</v>
      </c>
      <c r="AI14" s="15">
        <f t="shared" si="0"/>
        <v>0</v>
      </c>
      <c r="AJ14" s="2"/>
      <c r="AK14" s="2"/>
    </row>
    <row r="15" spans="1:37" x14ac:dyDescent="0.25">
      <c r="B15" t="s">
        <v>83</v>
      </c>
      <c r="C15" t="s">
        <v>12</v>
      </c>
      <c r="D15" s="4" t="s">
        <v>25</v>
      </c>
      <c r="E15" s="2" t="s">
        <v>33</v>
      </c>
      <c r="F15" s="2" t="s">
        <v>20</v>
      </c>
      <c r="G15" s="2" t="s">
        <v>20</v>
      </c>
      <c r="J15" s="2"/>
      <c r="K15" s="2"/>
      <c r="L15" s="2"/>
      <c r="M15" s="2" t="s">
        <v>20</v>
      </c>
      <c r="N15" s="2" t="s">
        <v>20</v>
      </c>
      <c r="Q15" s="2"/>
      <c r="R15" s="2"/>
      <c r="S15" s="2"/>
      <c r="T15" s="2" t="s">
        <v>20</v>
      </c>
      <c r="U15" s="2" t="s">
        <v>20</v>
      </c>
      <c r="X15" s="2"/>
      <c r="Y15" s="2"/>
      <c r="Z15" s="2"/>
      <c r="AA15" s="2" t="s">
        <v>20</v>
      </c>
      <c r="AB15" s="2" t="s">
        <v>20</v>
      </c>
      <c r="AE15" s="2"/>
      <c r="AF15" s="2"/>
      <c r="AG15" s="2"/>
      <c r="AH15" s="2" t="s">
        <v>20</v>
      </c>
      <c r="AI15" s="15">
        <f t="shared" si="0"/>
        <v>0</v>
      </c>
      <c r="AJ15" s="2"/>
      <c r="AK15" s="2"/>
    </row>
    <row r="16" spans="1:37" x14ac:dyDescent="0.25">
      <c r="B16" t="s">
        <v>79</v>
      </c>
      <c r="C16" t="s">
        <v>80</v>
      </c>
      <c r="D16" s="4" t="s">
        <v>25</v>
      </c>
      <c r="E16" s="2" t="s">
        <v>33</v>
      </c>
      <c r="F16" s="2" t="s">
        <v>20</v>
      </c>
      <c r="G16" s="2" t="s">
        <v>20</v>
      </c>
      <c r="J16" s="2"/>
      <c r="K16" s="2"/>
      <c r="L16" s="2"/>
      <c r="M16" s="2" t="s">
        <v>20</v>
      </c>
      <c r="N16" s="2" t="s">
        <v>20</v>
      </c>
      <c r="Q16" s="2"/>
      <c r="R16" s="2"/>
      <c r="S16" s="2"/>
      <c r="T16" s="2" t="s">
        <v>20</v>
      </c>
      <c r="U16" s="2" t="s">
        <v>20</v>
      </c>
      <c r="X16" s="2"/>
      <c r="Y16" s="2"/>
      <c r="Z16" s="2"/>
      <c r="AA16" s="2" t="s">
        <v>20</v>
      </c>
      <c r="AB16" s="2" t="s">
        <v>20</v>
      </c>
      <c r="AE16" s="2"/>
      <c r="AF16" s="2"/>
      <c r="AG16" s="2"/>
      <c r="AH16" s="2" t="s">
        <v>20</v>
      </c>
      <c r="AI16" s="15">
        <f>SUM(D16:E16,H16:L16,O16:S16,V16:Z16,AC16:AG16)</f>
        <v>0</v>
      </c>
      <c r="AJ16" s="2"/>
      <c r="AK16" s="2"/>
    </row>
    <row r="17" spans="2:37" x14ac:dyDescent="0.25">
      <c r="C17" t="s">
        <v>75</v>
      </c>
      <c r="D17" s="4" t="s">
        <v>25</v>
      </c>
      <c r="E17" s="2" t="s">
        <v>33</v>
      </c>
      <c r="F17" s="2" t="s">
        <v>20</v>
      </c>
      <c r="G17" s="2" t="s">
        <v>20</v>
      </c>
      <c r="J17" s="2"/>
      <c r="K17" s="2"/>
      <c r="L17" s="2"/>
      <c r="M17" s="2" t="s">
        <v>20</v>
      </c>
      <c r="N17" s="2" t="s">
        <v>20</v>
      </c>
      <c r="Q17" s="2"/>
      <c r="R17" s="2"/>
      <c r="S17" s="2"/>
      <c r="T17" s="2" t="s">
        <v>20</v>
      </c>
      <c r="U17" s="2" t="s">
        <v>20</v>
      </c>
      <c r="X17" s="2"/>
      <c r="Y17" s="2"/>
      <c r="Z17" s="2"/>
      <c r="AA17" s="2" t="s">
        <v>20</v>
      </c>
      <c r="AB17" s="2" t="s">
        <v>20</v>
      </c>
      <c r="AE17" s="2"/>
      <c r="AF17" s="2"/>
      <c r="AG17" s="2"/>
      <c r="AH17" s="2" t="s">
        <v>20</v>
      </c>
      <c r="AI17" s="15">
        <f t="shared" si="0"/>
        <v>0</v>
      </c>
      <c r="AJ17" s="2"/>
      <c r="AK17" s="2"/>
    </row>
    <row r="18" spans="2:37" x14ac:dyDescent="0.25">
      <c r="C18" t="s">
        <v>9</v>
      </c>
      <c r="D18" s="4" t="s">
        <v>25</v>
      </c>
      <c r="E18" s="2" t="s">
        <v>33</v>
      </c>
      <c r="F18" s="2" t="s">
        <v>20</v>
      </c>
      <c r="G18" s="2" t="s">
        <v>20</v>
      </c>
      <c r="J18" s="2"/>
      <c r="K18" s="2"/>
      <c r="L18" s="2"/>
      <c r="M18" s="2" t="s">
        <v>20</v>
      </c>
      <c r="N18" s="2" t="s">
        <v>20</v>
      </c>
      <c r="Q18" s="2"/>
      <c r="R18" s="2"/>
      <c r="S18" s="2"/>
      <c r="T18" s="2" t="s">
        <v>20</v>
      </c>
      <c r="U18" s="2" t="s">
        <v>20</v>
      </c>
      <c r="X18" s="2"/>
      <c r="Y18" s="2"/>
      <c r="Z18" s="2"/>
      <c r="AA18" s="2" t="s">
        <v>20</v>
      </c>
      <c r="AB18" s="2" t="s">
        <v>20</v>
      </c>
      <c r="AE18" s="2"/>
      <c r="AF18" s="2"/>
      <c r="AG18" s="2"/>
      <c r="AH18" s="2" t="s">
        <v>20</v>
      </c>
      <c r="AI18" s="15">
        <f t="shared" si="0"/>
        <v>0</v>
      </c>
      <c r="AJ18" s="2"/>
      <c r="AK18" s="2"/>
    </row>
    <row r="19" spans="2:37" s="3" customFormat="1" x14ac:dyDescent="0.25">
      <c r="AI19" s="16">
        <f>SUM(AI9:AI18)</f>
        <v>0</v>
      </c>
      <c r="AK19" s="18">
        <f>SUM(AI19,AJ9:AK9)</f>
        <v>16</v>
      </c>
    </row>
    <row r="20" spans="2:37" x14ac:dyDescent="0.25">
      <c r="B20" s="6" t="s">
        <v>67</v>
      </c>
      <c r="C20" t="s">
        <v>16</v>
      </c>
      <c r="D20" s="2" t="s">
        <v>20</v>
      </c>
      <c r="E20" s="25"/>
      <c r="F20" s="14"/>
      <c r="G20" s="14"/>
      <c r="H20" s="14"/>
      <c r="I20" s="14"/>
      <c r="J20" s="2" t="s">
        <v>20</v>
      </c>
      <c r="K20" s="2" t="s">
        <v>20</v>
      </c>
      <c r="L20" s="25"/>
      <c r="M20" s="25"/>
      <c r="N20" s="14"/>
      <c r="O20" s="14"/>
      <c r="P20" s="14"/>
      <c r="Q20" s="2" t="s">
        <v>20</v>
      </c>
      <c r="R20" s="2" t="s">
        <v>20</v>
      </c>
      <c r="S20" s="25"/>
      <c r="T20" s="25"/>
      <c r="U20" s="14"/>
      <c r="V20" s="14"/>
      <c r="W20" s="14"/>
      <c r="X20" s="2" t="s">
        <v>20</v>
      </c>
      <c r="Y20" s="2" t="s">
        <v>20</v>
      </c>
      <c r="Z20" s="25"/>
      <c r="AA20" s="25"/>
      <c r="AB20" s="14"/>
      <c r="AC20" s="14"/>
      <c r="AD20" s="14"/>
      <c r="AE20" s="2" t="s">
        <v>20</v>
      </c>
      <c r="AF20" s="2" t="s">
        <v>20</v>
      </c>
      <c r="AG20" s="13"/>
      <c r="AH20" s="13"/>
      <c r="AI20" s="26">
        <f>SUM(E20:I20,L20:P20,S20:W20,Z20:AD20)</f>
        <v>0</v>
      </c>
      <c r="AJ20" s="2"/>
      <c r="AK20" s="2">
        <v>0</v>
      </c>
    </row>
    <row r="21" spans="2:37" ht="20" customHeight="1" x14ac:dyDescent="0.25">
      <c r="C21" t="s">
        <v>10</v>
      </c>
      <c r="D21" s="2" t="s">
        <v>20</v>
      </c>
      <c r="E21" s="25"/>
      <c r="F21" s="14"/>
      <c r="G21" s="14"/>
      <c r="H21" s="14"/>
      <c r="I21" s="14"/>
      <c r="J21" s="2" t="s">
        <v>20</v>
      </c>
      <c r="K21" s="2" t="s">
        <v>20</v>
      </c>
      <c r="L21" s="25"/>
      <c r="M21" s="25"/>
      <c r="N21" s="14"/>
      <c r="O21" s="14"/>
      <c r="P21" s="14"/>
      <c r="Q21" s="2" t="s">
        <v>20</v>
      </c>
      <c r="R21" s="2" t="s">
        <v>20</v>
      </c>
      <c r="S21" s="25"/>
      <c r="T21" s="25"/>
      <c r="U21" s="14"/>
      <c r="V21" s="14"/>
      <c r="W21" s="14"/>
      <c r="X21" s="2" t="s">
        <v>20</v>
      </c>
      <c r="Y21" s="2" t="s">
        <v>20</v>
      </c>
      <c r="Z21" s="25"/>
      <c r="AA21" s="25"/>
      <c r="AB21" s="14"/>
      <c r="AC21" s="14"/>
      <c r="AD21" s="14"/>
      <c r="AE21" s="2" t="s">
        <v>20</v>
      </c>
      <c r="AF21" s="2" t="s">
        <v>20</v>
      </c>
      <c r="AG21" s="19"/>
      <c r="AH21" s="19"/>
      <c r="AI21" s="26">
        <f t="shared" ref="AI21:AI29" si="1">SUM(E21:I21,L21:P21,S21:W21,Z21:AD21)</f>
        <v>0</v>
      </c>
      <c r="AJ21" s="2"/>
      <c r="AK21" s="2"/>
    </row>
    <row r="22" spans="2:37" x14ac:dyDescent="0.25">
      <c r="B22" t="s">
        <v>31</v>
      </c>
      <c r="C22" t="s">
        <v>8</v>
      </c>
      <c r="D22" s="2" t="s">
        <v>20</v>
      </c>
      <c r="E22" s="25"/>
      <c r="F22" s="14"/>
      <c r="G22" s="14"/>
      <c r="H22" s="14"/>
      <c r="I22" s="14"/>
      <c r="J22" s="2" t="s">
        <v>20</v>
      </c>
      <c r="K22" s="2" t="s">
        <v>20</v>
      </c>
      <c r="L22" s="25"/>
      <c r="M22" s="25"/>
      <c r="N22" s="14"/>
      <c r="O22" s="14"/>
      <c r="P22" s="14"/>
      <c r="Q22" s="2" t="s">
        <v>20</v>
      </c>
      <c r="R22" s="2" t="s">
        <v>20</v>
      </c>
      <c r="S22" s="25"/>
      <c r="T22" s="25"/>
      <c r="U22" s="14"/>
      <c r="V22" s="14"/>
      <c r="W22" s="14"/>
      <c r="X22" s="2" t="s">
        <v>20</v>
      </c>
      <c r="Y22" s="2" t="s">
        <v>20</v>
      </c>
      <c r="Z22" s="25"/>
      <c r="AA22" s="25"/>
      <c r="AB22" s="14"/>
      <c r="AC22" s="14"/>
      <c r="AD22" s="14"/>
      <c r="AE22" s="2" t="s">
        <v>20</v>
      </c>
      <c r="AF22" s="2" t="s">
        <v>20</v>
      </c>
      <c r="AG22" s="13"/>
      <c r="AH22" s="13"/>
      <c r="AI22" s="26">
        <f t="shared" si="1"/>
        <v>0</v>
      </c>
      <c r="AJ22" s="2"/>
      <c r="AK22" s="2"/>
    </row>
    <row r="23" spans="2:37" x14ac:dyDescent="0.25">
      <c r="C23" t="s">
        <v>13</v>
      </c>
      <c r="D23" s="2" t="s">
        <v>20</v>
      </c>
      <c r="E23" s="25"/>
      <c r="F23" s="14"/>
      <c r="G23" s="14"/>
      <c r="H23" s="14"/>
      <c r="I23" s="14"/>
      <c r="J23" s="2" t="s">
        <v>20</v>
      </c>
      <c r="K23" s="2" t="s">
        <v>20</v>
      </c>
      <c r="L23" s="25"/>
      <c r="M23" s="25"/>
      <c r="N23" s="14"/>
      <c r="O23" s="14"/>
      <c r="P23" s="14"/>
      <c r="Q23" s="2" t="s">
        <v>20</v>
      </c>
      <c r="R23" s="2" t="s">
        <v>20</v>
      </c>
      <c r="S23" s="25"/>
      <c r="T23" s="25"/>
      <c r="U23" s="14"/>
      <c r="V23" s="14"/>
      <c r="W23" s="14"/>
      <c r="X23" s="2" t="s">
        <v>20</v>
      </c>
      <c r="Y23" s="2" t="s">
        <v>20</v>
      </c>
      <c r="Z23" s="25"/>
      <c r="AA23" s="25"/>
      <c r="AB23" s="14"/>
      <c r="AC23" s="14"/>
      <c r="AD23" s="14"/>
      <c r="AE23" s="2" t="s">
        <v>20</v>
      </c>
      <c r="AF23" s="2" t="s">
        <v>20</v>
      </c>
      <c r="AG23" s="13"/>
      <c r="AH23" s="13"/>
      <c r="AI23" s="26">
        <f t="shared" si="1"/>
        <v>0</v>
      </c>
      <c r="AJ23" s="2"/>
      <c r="AK23" s="2"/>
    </row>
    <row r="24" spans="2:37" x14ac:dyDescent="0.25">
      <c r="B24" s="8">
        <v>168</v>
      </c>
      <c r="C24" t="s">
        <v>11</v>
      </c>
      <c r="D24" s="2" t="s">
        <v>20</v>
      </c>
      <c r="E24" s="25"/>
      <c r="F24" s="14"/>
      <c r="G24" s="14"/>
      <c r="H24" s="14"/>
      <c r="I24" s="14"/>
      <c r="J24" s="2" t="s">
        <v>20</v>
      </c>
      <c r="K24" s="2" t="s">
        <v>20</v>
      </c>
      <c r="L24" s="25"/>
      <c r="M24" s="25"/>
      <c r="N24" s="14"/>
      <c r="O24" s="14"/>
      <c r="P24" s="14"/>
      <c r="Q24" s="2" t="s">
        <v>20</v>
      </c>
      <c r="R24" s="2" t="s">
        <v>20</v>
      </c>
      <c r="S24" s="25"/>
      <c r="T24" s="25"/>
      <c r="U24" s="14"/>
      <c r="V24" s="14"/>
      <c r="W24" s="14"/>
      <c r="X24" s="2" t="s">
        <v>20</v>
      </c>
      <c r="Y24" s="2" t="s">
        <v>20</v>
      </c>
      <c r="Z24" s="25"/>
      <c r="AA24" s="25"/>
      <c r="AB24" s="14"/>
      <c r="AC24" s="14"/>
      <c r="AD24" s="14"/>
      <c r="AE24" s="2" t="s">
        <v>20</v>
      </c>
      <c r="AF24" s="2" t="s">
        <v>20</v>
      </c>
      <c r="AG24" s="13"/>
      <c r="AH24" s="13"/>
      <c r="AI24" s="26">
        <f t="shared" si="1"/>
        <v>0</v>
      </c>
      <c r="AJ24" s="2"/>
      <c r="AK24" s="2"/>
    </row>
    <row r="25" spans="2:37" x14ac:dyDescent="0.25">
      <c r="C25" t="s">
        <v>7</v>
      </c>
      <c r="D25" s="2" t="s">
        <v>20</v>
      </c>
      <c r="E25" s="25"/>
      <c r="F25" s="14"/>
      <c r="G25" s="14"/>
      <c r="H25" s="14"/>
      <c r="I25" s="14"/>
      <c r="J25" s="2" t="s">
        <v>20</v>
      </c>
      <c r="K25" s="2" t="s">
        <v>20</v>
      </c>
      <c r="L25" s="25"/>
      <c r="M25" s="25"/>
      <c r="N25" s="14"/>
      <c r="O25" s="14"/>
      <c r="P25" s="14"/>
      <c r="Q25" s="2" t="s">
        <v>20</v>
      </c>
      <c r="R25" s="2" t="s">
        <v>20</v>
      </c>
      <c r="S25" s="25"/>
      <c r="T25" s="25"/>
      <c r="U25" s="14"/>
      <c r="V25" s="14"/>
      <c r="W25" s="14"/>
      <c r="X25" s="2" t="s">
        <v>20</v>
      </c>
      <c r="Y25" s="2" t="s">
        <v>20</v>
      </c>
      <c r="Z25" s="25"/>
      <c r="AA25" s="25"/>
      <c r="AB25" s="14"/>
      <c r="AC25" s="14"/>
      <c r="AD25" s="14"/>
      <c r="AE25" s="2" t="s">
        <v>20</v>
      </c>
      <c r="AF25" s="2" t="s">
        <v>20</v>
      </c>
      <c r="AG25" s="13"/>
      <c r="AH25" s="13"/>
      <c r="AI25" s="26">
        <f t="shared" si="1"/>
        <v>0</v>
      </c>
      <c r="AJ25" s="2"/>
      <c r="AK25" s="2"/>
    </row>
    <row r="26" spans="2:37" x14ac:dyDescent="0.25">
      <c r="C26" t="s">
        <v>12</v>
      </c>
      <c r="D26" s="2" t="s">
        <v>20</v>
      </c>
      <c r="E26" s="25"/>
      <c r="F26" s="14"/>
      <c r="G26" s="14"/>
      <c r="H26" s="14"/>
      <c r="I26" s="14"/>
      <c r="J26" s="2" t="s">
        <v>20</v>
      </c>
      <c r="K26" s="2" t="s">
        <v>20</v>
      </c>
      <c r="L26" s="25"/>
      <c r="M26" s="25"/>
      <c r="N26" s="14"/>
      <c r="O26" s="14"/>
      <c r="P26" s="14"/>
      <c r="Q26" s="2" t="s">
        <v>20</v>
      </c>
      <c r="R26" s="2" t="s">
        <v>20</v>
      </c>
      <c r="S26" s="25"/>
      <c r="T26" s="25"/>
      <c r="U26" s="14"/>
      <c r="V26" s="14"/>
      <c r="W26" s="14"/>
      <c r="X26" s="2" t="s">
        <v>20</v>
      </c>
      <c r="Y26" s="2" t="s">
        <v>20</v>
      </c>
      <c r="Z26" s="25"/>
      <c r="AA26" s="25"/>
      <c r="AB26" s="14"/>
      <c r="AC26" s="14"/>
      <c r="AD26" s="14"/>
      <c r="AE26" s="2" t="s">
        <v>20</v>
      </c>
      <c r="AF26" s="2" t="s">
        <v>20</v>
      </c>
      <c r="AG26" s="13"/>
      <c r="AH26" s="13"/>
      <c r="AI26" s="26">
        <f t="shared" si="1"/>
        <v>0</v>
      </c>
      <c r="AJ26" s="2"/>
      <c r="AK26" s="2"/>
    </row>
    <row r="27" spans="2:37" x14ac:dyDescent="0.25">
      <c r="C27" t="s">
        <v>80</v>
      </c>
      <c r="D27" s="2" t="s">
        <v>20</v>
      </c>
      <c r="E27" s="25"/>
      <c r="F27" s="14"/>
      <c r="G27" s="14"/>
      <c r="H27" s="14"/>
      <c r="I27" s="14"/>
      <c r="J27" s="2" t="s">
        <v>20</v>
      </c>
      <c r="K27" s="2" t="s">
        <v>20</v>
      </c>
      <c r="L27" s="25"/>
      <c r="M27" s="25"/>
      <c r="N27" s="14"/>
      <c r="O27" s="14"/>
      <c r="P27" s="14"/>
      <c r="Q27" s="2" t="s">
        <v>20</v>
      </c>
      <c r="R27" s="2" t="s">
        <v>20</v>
      </c>
      <c r="S27" s="25"/>
      <c r="T27" s="25"/>
      <c r="U27" s="14"/>
      <c r="V27" s="14"/>
      <c r="W27" s="14"/>
      <c r="X27" s="2" t="s">
        <v>20</v>
      </c>
      <c r="Y27" s="2" t="s">
        <v>20</v>
      </c>
      <c r="Z27" s="25"/>
      <c r="AA27" s="25"/>
      <c r="AB27" s="14"/>
      <c r="AC27" s="14"/>
      <c r="AD27" s="14"/>
      <c r="AE27" s="2" t="s">
        <v>20</v>
      </c>
      <c r="AF27" s="2" t="s">
        <v>20</v>
      </c>
      <c r="AG27" s="13"/>
      <c r="AH27" s="13"/>
      <c r="AI27" s="26">
        <f t="shared" si="1"/>
        <v>0</v>
      </c>
      <c r="AJ27" s="2"/>
      <c r="AK27" s="2"/>
    </row>
    <row r="28" spans="2:37" x14ac:dyDescent="0.25">
      <c r="C28" t="s">
        <v>75</v>
      </c>
      <c r="D28" s="2" t="s">
        <v>20</v>
      </c>
      <c r="E28" s="25"/>
      <c r="F28" s="14"/>
      <c r="G28" s="14"/>
      <c r="H28" s="14"/>
      <c r="I28" s="14"/>
      <c r="J28" s="2" t="s">
        <v>20</v>
      </c>
      <c r="K28" s="2" t="s">
        <v>20</v>
      </c>
      <c r="L28" s="25"/>
      <c r="M28" s="25"/>
      <c r="N28" s="14"/>
      <c r="O28" s="14"/>
      <c r="P28" s="14"/>
      <c r="Q28" s="2" t="s">
        <v>20</v>
      </c>
      <c r="R28" s="2" t="s">
        <v>20</v>
      </c>
      <c r="S28" s="25"/>
      <c r="T28" s="25"/>
      <c r="U28" s="14"/>
      <c r="V28" s="14"/>
      <c r="W28" s="14"/>
      <c r="X28" s="2" t="s">
        <v>20</v>
      </c>
      <c r="Y28" s="2" t="s">
        <v>20</v>
      </c>
      <c r="Z28" s="25"/>
      <c r="AA28" s="25"/>
      <c r="AB28" s="14"/>
      <c r="AC28" s="14"/>
      <c r="AD28" s="14"/>
      <c r="AE28" s="2" t="s">
        <v>20</v>
      </c>
      <c r="AF28" s="2" t="s">
        <v>20</v>
      </c>
      <c r="AG28" s="13"/>
      <c r="AH28" s="13"/>
      <c r="AI28" s="26">
        <f t="shared" si="1"/>
        <v>0</v>
      </c>
      <c r="AJ28" s="2"/>
      <c r="AK28" s="2"/>
    </row>
    <row r="29" spans="2:37" x14ac:dyDescent="0.25">
      <c r="C29" t="s">
        <v>9</v>
      </c>
      <c r="D29" s="2" t="s">
        <v>20</v>
      </c>
      <c r="E29" s="25"/>
      <c r="F29" s="14"/>
      <c r="G29" s="14"/>
      <c r="H29" s="14"/>
      <c r="I29" s="14"/>
      <c r="J29" s="2" t="s">
        <v>20</v>
      </c>
      <c r="K29" s="2" t="s">
        <v>20</v>
      </c>
      <c r="L29" s="25"/>
      <c r="M29" s="25"/>
      <c r="N29" s="14"/>
      <c r="O29" s="14"/>
      <c r="P29" s="14"/>
      <c r="Q29" s="2" t="s">
        <v>20</v>
      </c>
      <c r="R29" s="2" t="s">
        <v>20</v>
      </c>
      <c r="S29" s="25"/>
      <c r="T29" s="25"/>
      <c r="U29" s="14"/>
      <c r="V29" s="14"/>
      <c r="W29" s="14"/>
      <c r="X29" s="2" t="s">
        <v>20</v>
      </c>
      <c r="Y29" s="2" t="s">
        <v>20</v>
      </c>
      <c r="Z29" s="25"/>
      <c r="AA29" s="25"/>
      <c r="AB29" s="14"/>
      <c r="AC29" s="14"/>
      <c r="AD29" s="14"/>
      <c r="AE29" s="2" t="s">
        <v>20</v>
      </c>
      <c r="AF29" s="2" t="s">
        <v>20</v>
      </c>
      <c r="AG29" s="13"/>
      <c r="AH29" s="13"/>
      <c r="AI29" s="26">
        <f t="shared" si="1"/>
        <v>0</v>
      </c>
      <c r="AJ29" s="2"/>
      <c r="AK29" s="2"/>
    </row>
    <row r="30" spans="2:37" s="1" customFormat="1" x14ac:dyDescent="0.25"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16">
        <f>SUM(AI20:AI29)</f>
        <v>0</v>
      </c>
      <c r="AJ30" s="3"/>
      <c r="AK30" s="18">
        <f>SUM(AI30,AJ20:AK20)</f>
        <v>0</v>
      </c>
    </row>
    <row r="31" spans="2:37" x14ac:dyDescent="0.25">
      <c r="B31" s="6" t="s">
        <v>68</v>
      </c>
      <c r="C31" t="s">
        <v>16</v>
      </c>
      <c r="D31" s="2" t="s">
        <v>20</v>
      </c>
      <c r="E31" s="2"/>
      <c r="F31" s="2"/>
      <c r="G31" s="2"/>
      <c r="H31" s="2"/>
      <c r="J31" s="2" t="s">
        <v>20</v>
      </c>
      <c r="K31" s="2" t="s">
        <v>20</v>
      </c>
      <c r="L31" s="2"/>
      <c r="M31" s="2"/>
      <c r="N31" s="2"/>
      <c r="O31" s="2"/>
      <c r="Q31" s="2" t="s">
        <v>20</v>
      </c>
      <c r="R31" s="2" t="s">
        <v>20</v>
      </c>
      <c r="S31" s="2"/>
      <c r="T31" s="2"/>
      <c r="U31" s="2"/>
      <c r="V31" s="2"/>
      <c r="X31" s="2" t="s">
        <v>20</v>
      </c>
      <c r="Y31" s="2" t="s">
        <v>20</v>
      </c>
      <c r="Z31" s="2"/>
      <c r="AA31" s="2"/>
      <c r="AB31" s="2"/>
      <c r="AC31" s="2"/>
      <c r="AE31" s="2" t="s">
        <v>20</v>
      </c>
      <c r="AF31" s="2" t="s">
        <v>20</v>
      </c>
      <c r="AG31" s="2"/>
      <c r="AH31" s="2"/>
      <c r="AI31" s="15">
        <f>SUM(E31:I31,L31:P31,S31:W31,Z31:AD31,AG31:AH31)</f>
        <v>0</v>
      </c>
      <c r="AJ31" s="2"/>
      <c r="AK31" s="2">
        <v>0</v>
      </c>
    </row>
    <row r="32" spans="2:37" x14ac:dyDescent="0.25">
      <c r="C32" t="s">
        <v>10</v>
      </c>
      <c r="D32" s="2" t="s">
        <v>20</v>
      </c>
      <c r="E32" s="2"/>
      <c r="F32" s="2"/>
      <c r="G32" s="2"/>
      <c r="H32" s="2"/>
      <c r="J32" s="2" t="s">
        <v>20</v>
      </c>
      <c r="K32" s="2" t="s">
        <v>20</v>
      </c>
      <c r="L32" s="2"/>
      <c r="M32" s="2"/>
      <c r="N32" s="2"/>
      <c r="O32" s="2"/>
      <c r="Q32" s="2" t="s">
        <v>20</v>
      </c>
      <c r="R32" s="2" t="s">
        <v>20</v>
      </c>
      <c r="S32" s="2"/>
      <c r="T32" s="2"/>
      <c r="U32" s="2"/>
      <c r="V32" s="2"/>
      <c r="X32" s="2" t="s">
        <v>20</v>
      </c>
      <c r="Y32" s="2" t="s">
        <v>20</v>
      </c>
      <c r="Z32" s="2"/>
      <c r="AA32" s="2"/>
      <c r="AB32" s="2"/>
      <c r="AC32" s="2"/>
      <c r="AE32" s="2" t="s">
        <v>20</v>
      </c>
      <c r="AF32" s="2" t="s">
        <v>20</v>
      </c>
      <c r="AG32" s="2"/>
      <c r="AH32" s="2"/>
      <c r="AI32" s="15">
        <f t="shared" ref="AI32:AI40" si="2">SUM(E32:I32,L32:P32,S32:W32,Z32:AD32,AG32:AH32)</f>
        <v>0</v>
      </c>
      <c r="AJ32" s="2"/>
      <c r="AK32" s="2"/>
    </row>
    <row r="33" spans="2:37" x14ac:dyDescent="0.25">
      <c r="B33" t="s">
        <v>29</v>
      </c>
      <c r="C33" t="s">
        <v>8</v>
      </c>
      <c r="D33" s="2" t="s">
        <v>20</v>
      </c>
      <c r="E33" s="2"/>
      <c r="F33" s="2"/>
      <c r="G33" s="2"/>
      <c r="H33" s="2"/>
      <c r="J33" s="2" t="s">
        <v>20</v>
      </c>
      <c r="K33" s="2" t="s">
        <v>20</v>
      </c>
      <c r="L33" s="2"/>
      <c r="M33" s="2"/>
      <c r="N33" s="2"/>
      <c r="O33" s="2"/>
      <c r="Q33" s="2" t="s">
        <v>20</v>
      </c>
      <c r="R33" s="2" t="s">
        <v>20</v>
      </c>
      <c r="S33" s="2"/>
      <c r="T33" s="2"/>
      <c r="U33" s="2"/>
      <c r="V33" s="2"/>
      <c r="X33" s="2" t="s">
        <v>20</v>
      </c>
      <c r="Y33" s="2" t="s">
        <v>20</v>
      </c>
      <c r="Z33" s="2"/>
      <c r="AA33" s="2"/>
      <c r="AB33" s="2"/>
      <c r="AC33" s="2"/>
      <c r="AE33" s="2" t="s">
        <v>20</v>
      </c>
      <c r="AF33" s="2" t="s">
        <v>20</v>
      </c>
      <c r="AG33" s="2"/>
      <c r="AH33" s="2"/>
      <c r="AI33" s="15">
        <f t="shared" si="2"/>
        <v>0</v>
      </c>
      <c r="AJ33" s="2"/>
      <c r="AK33" s="2"/>
    </row>
    <row r="34" spans="2:37" x14ac:dyDescent="0.25">
      <c r="C34" t="s">
        <v>13</v>
      </c>
      <c r="D34" s="2" t="s">
        <v>20</v>
      </c>
      <c r="E34" s="2"/>
      <c r="F34" s="2"/>
      <c r="G34" s="2"/>
      <c r="H34" s="2"/>
      <c r="J34" s="2" t="s">
        <v>20</v>
      </c>
      <c r="K34" s="2" t="s">
        <v>20</v>
      </c>
      <c r="L34" s="2"/>
      <c r="M34" s="2"/>
      <c r="N34" s="2"/>
      <c r="O34" s="2"/>
      <c r="Q34" s="2" t="s">
        <v>20</v>
      </c>
      <c r="R34" s="2" t="s">
        <v>20</v>
      </c>
      <c r="S34" s="2"/>
      <c r="T34" s="2"/>
      <c r="U34" s="2"/>
      <c r="V34" s="2"/>
      <c r="X34" s="2" t="s">
        <v>20</v>
      </c>
      <c r="Y34" s="2" t="s">
        <v>20</v>
      </c>
      <c r="Z34" s="2"/>
      <c r="AA34" s="2"/>
      <c r="AB34" s="2"/>
      <c r="AC34" s="2"/>
      <c r="AE34" s="2" t="s">
        <v>20</v>
      </c>
      <c r="AF34" s="2" t="s">
        <v>20</v>
      </c>
      <c r="AG34" s="2"/>
      <c r="AH34" s="2"/>
      <c r="AI34" s="15">
        <f t="shared" si="2"/>
        <v>0</v>
      </c>
      <c r="AJ34" s="2"/>
      <c r="AK34" s="2"/>
    </row>
    <row r="35" spans="2:37" x14ac:dyDescent="0.25">
      <c r="B35" s="8">
        <v>176</v>
      </c>
      <c r="C35" t="s">
        <v>11</v>
      </c>
      <c r="D35" s="2" t="s">
        <v>20</v>
      </c>
      <c r="E35" s="2"/>
      <c r="F35" s="2"/>
      <c r="G35" s="2"/>
      <c r="H35" s="2"/>
      <c r="J35" s="2" t="s">
        <v>20</v>
      </c>
      <c r="K35" s="2" t="s">
        <v>20</v>
      </c>
      <c r="L35" s="2"/>
      <c r="M35" s="2"/>
      <c r="N35" s="2"/>
      <c r="O35" s="2"/>
      <c r="Q35" s="2" t="s">
        <v>20</v>
      </c>
      <c r="R35" s="2" t="s">
        <v>20</v>
      </c>
      <c r="S35" s="2"/>
      <c r="T35" s="2"/>
      <c r="U35" s="2"/>
      <c r="V35" s="2"/>
      <c r="X35" s="2" t="s">
        <v>20</v>
      </c>
      <c r="Y35" s="2" t="s">
        <v>20</v>
      </c>
      <c r="Z35" s="2"/>
      <c r="AA35" s="2"/>
      <c r="AB35" s="2"/>
      <c r="AC35" s="2"/>
      <c r="AE35" s="2" t="s">
        <v>20</v>
      </c>
      <c r="AF35" s="2" t="s">
        <v>20</v>
      </c>
      <c r="AG35" s="2"/>
      <c r="AH35" s="2"/>
      <c r="AI35" s="15">
        <f t="shared" si="2"/>
        <v>0</v>
      </c>
      <c r="AJ35" s="2"/>
      <c r="AK35" s="2"/>
    </row>
    <row r="36" spans="2:37" x14ac:dyDescent="0.25">
      <c r="C36" t="s">
        <v>7</v>
      </c>
      <c r="D36" s="2" t="s">
        <v>20</v>
      </c>
      <c r="E36" s="2"/>
      <c r="F36" s="2"/>
      <c r="G36" s="2"/>
      <c r="H36" s="2"/>
      <c r="J36" s="2" t="s">
        <v>20</v>
      </c>
      <c r="K36" s="2" t="s">
        <v>20</v>
      </c>
      <c r="L36" s="2"/>
      <c r="M36" s="2"/>
      <c r="N36" s="2"/>
      <c r="O36" s="2"/>
      <c r="Q36" s="2" t="s">
        <v>20</v>
      </c>
      <c r="R36" s="2" t="s">
        <v>20</v>
      </c>
      <c r="S36" s="2"/>
      <c r="T36" s="2"/>
      <c r="U36" s="2"/>
      <c r="V36" s="2"/>
      <c r="X36" s="2" t="s">
        <v>20</v>
      </c>
      <c r="Y36" s="2" t="s">
        <v>20</v>
      </c>
      <c r="Z36" s="2"/>
      <c r="AA36" s="2"/>
      <c r="AB36" s="2"/>
      <c r="AC36" s="2"/>
      <c r="AE36" s="2" t="s">
        <v>20</v>
      </c>
      <c r="AF36" s="2" t="s">
        <v>20</v>
      </c>
      <c r="AG36" s="2"/>
      <c r="AH36" s="2"/>
      <c r="AI36" s="15">
        <f t="shared" si="2"/>
        <v>0</v>
      </c>
      <c r="AJ36" s="2"/>
      <c r="AK36" s="2"/>
    </row>
    <row r="37" spans="2:37" x14ac:dyDescent="0.25">
      <c r="C37" t="s">
        <v>12</v>
      </c>
      <c r="D37" s="2" t="s">
        <v>20</v>
      </c>
      <c r="E37" s="2"/>
      <c r="F37" s="2"/>
      <c r="G37" s="2"/>
      <c r="H37" s="2"/>
      <c r="J37" s="2" t="s">
        <v>20</v>
      </c>
      <c r="K37" s="2" t="s">
        <v>20</v>
      </c>
      <c r="L37" s="2"/>
      <c r="M37" s="2"/>
      <c r="N37" s="2"/>
      <c r="O37" s="2"/>
      <c r="Q37" s="2" t="s">
        <v>20</v>
      </c>
      <c r="R37" s="2" t="s">
        <v>20</v>
      </c>
      <c r="S37" s="2"/>
      <c r="T37" s="2"/>
      <c r="U37" s="2"/>
      <c r="V37" s="2"/>
      <c r="X37" s="2" t="s">
        <v>20</v>
      </c>
      <c r="Y37" s="2" t="s">
        <v>20</v>
      </c>
      <c r="Z37" s="2"/>
      <c r="AA37" s="2"/>
      <c r="AB37" s="2"/>
      <c r="AC37" s="2"/>
      <c r="AE37" s="2" t="s">
        <v>20</v>
      </c>
      <c r="AF37" s="2" t="s">
        <v>20</v>
      </c>
      <c r="AG37" s="2"/>
      <c r="AH37" s="2"/>
      <c r="AI37" s="15">
        <f t="shared" si="2"/>
        <v>0</v>
      </c>
      <c r="AJ37" s="2"/>
      <c r="AK37" s="2"/>
    </row>
    <row r="38" spans="2:37" x14ac:dyDescent="0.25">
      <c r="C38" t="s">
        <v>80</v>
      </c>
      <c r="D38" s="2" t="s">
        <v>20</v>
      </c>
      <c r="E38" s="2"/>
      <c r="F38" s="2"/>
      <c r="G38" s="2"/>
      <c r="H38" s="2"/>
      <c r="J38" s="2" t="s">
        <v>20</v>
      </c>
      <c r="K38" s="2" t="s">
        <v>20</v>
      </c>
      <c r="L38" s="2"/>
      <c r="M38" s="2"/>
      <c r="N38" s="2"/>
      <c r="O38" s="2"/>
      <c r="Q38" s="2" t="s">
        <v>20</v>
      </c>
      <c r="R38" s="2" t="s">
        <v>20</v>
      </c>
      <c r="S38" s="2"/>
      <c r="T38" s="2"/>
      <c r="U38" s="2"/>
      <c r="V38" s="2"/>
      <c r="X38" s="2" t="s">
        <v>20</v>
      </c>
      <c r="Y38" s="2" t="s">
        <v>20</v>
      </c>
      <c r="Z38" s="2"/>
      <c r="AA38" s="2"/>
      <c r="AB38" s="2"/>
      <c r="AC38" s="2"/>
      <c r="AE38" s="2" t="s">
        <v>20</v>
      </c>
      <c r="AF38" s="2" t="s">
        <v>20</v>
      </c>
      <c r="AG38" s="2"/>
      <c r="AH38" s="2"/>
      <c r="AI38" s="15">
        <f t="shared" si="2"/>
        <v>0</v>
      </c>
      <c r="AJ38" s="2"/>
      <c r="AK38" s="2"/>
    </row>
    <row r="39" spans="2:37" x14ac:dyDescent="0.25">
      <c r="C39" t="s">
        <v>75</v>
      </c>
      <c r="D39" s="2" t="s">
        <v>20</v>
      </c>
      <c r="E39" s="2"/>
      <c r="F39" s="2"/>
      <c r="G39" s="2"/>
      <c r="H39" s="2"/>
      <c r="J39" s="2" t="s">
        <v>20</v>
      </c>
      <c r="K39" s="2" t="s">
        <v>20</v>
      </c>
      <c r="L39" s="2"/>
      <c r="M39" s="2"/>
      <c r="N39" s="2"/>
      <c r="O39" s="2"/>
      <c r="Q39" s="2" t="s">
        <v>20</v>
      </c>
      <c r="R39" s="2" t="s">
        <v>20</v>
      </c>
      <c r="S39" s="2"/>
      <c r="T39" s="2"/>
      <c r="U39" s="2"/>
      <c r="V39" s="2"/>
      <c r="X39" s="2" t="s">
        <v>20</v>
      </c>
      <c r="Y39" s="2" t="s">
        <v>20</v>
      </c>
      <c r="Z39" s="2"/>
      <c r="AA39" s="2"/>
      <c r="AB39" s="2"/>
      <c r="AC39" s="2"/>
      <c r="AE39" s="2" t="s">
        <v>20</v>
      </c>
      <c r="AF39" s="2" t="s">
        <v>20</v>
      </c>
      <c r="AG39" s="2"/>
      <c r="AH39" s="2"/>
      <c r="AI39" s="15">
        <f t="shared" si="2"/>
        <v>0</v>
      </c>
      <c r="AJ39" s="2"/>
      <c r="AK39" s="2"/>
    </row>
    <row r="40" spans="2:37" x14ac:dyDescent="0.25">
      <c r="C40" t="s">
        <v>9</v>
      </c>
      <c r="D40" s="2" t="s">
        <v>20</v>
      </c>
      <c r="E40" s="2"/>
      <c r="F40" s="2"/>
      <c r="G40" s="2"/>
      <c r="H40" s="2"/>
      <c r="J40" s="2" t="s">
        <v>20</v>
      </c>
      <c r="K40" s="2" t="s">
        <v>20</v>
      </c>
      <c r="L40" s="2"/>
      <c r="M40" s="2"/>
      <c r="N40" s="2"/>
      <c r="O40" s="2"/>
      <c r="Q40" s="2" t="s">
        <v>20</v>
      </c>
      <c r="R40" s="2" t="s">
        <v>20</v>
      </c>
      <c r="S40" s="2"/>
      <c r="T40" s="2"/>
      <c r="U40" s="2"/>
      <c r="V40" s="2"/>
      <c r="X40" s="2" t="s">
        <v>20</v>
      </c>
      <c r="Y40" s="2" t="s">
        <v>20</v>
      </c>
      <c r="Z40" s="2"/>
      <c r="AA40" s="2"/>
      <c r="AB40" s="2"/>
      <c r="AC40" s="2"/>
      <c r="AE40" s="2" t="s">
        <v>20</v>
      </c>
      <c r="AF40" s="2" t="s">
        <v>20</v>
      </c>
      <c r="AG40" s="2"/>
      <c r="AH40" s="2"/>
      <c r="AI40" s="15">
        <f t="shared" si="2"/>
        <v>0</v>
      </c>
      <c r="AJ40" s="2"/>
      <c r="AK40" s="2"/>
    </row>
    <row r="41" spans="2:37" s="1" customFormat="1" x14ac:dyDescent="0.25"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16">
        <f>SUM(AI31:AI40)</f>
        <v>0</v>
      </c>
      <c r="AJ41" s="3"/>
      <c r="AK41" s="18">
        <f>SUM(AI41,AJ31:AK31)</f>
        <v>0</v>
      </c>
    </row>
    <row r="42" spans="2:37" x14ac:dyDescent="0.25">
      <c r="B42" s="6" t="s">
        <v>69</v>
      </c>
      <c r="C42" t="s">
        <v>16</v>
      </c>
      <c r="D42" s="2"/>
      <c r="E42" s="2"/>
      <c r="F42" s="4"/>
      <c r="G42" s="2" t="s">
        <v>20</v>
      </c>
      <c r="H42" s="2" t="s">
        <v>20</v>
      </c>
      <c r="I42" s="4" t="s">
        <v>25</v>
      </c>
      <c r="J42" s="2"/>
      <c r="K42" s="2"/>
      <c r="L42" s="2"/>
      <c r="M42" s="2"/>
      <c r="N42" s="2" t="s">
        <v>20</v>
      </c>
      <c r="O42" s="2" t="s">
        <v>20</v>
      </c>
      <c r="P42" s="2"/>
      <c r="Q42" s="2"/>
      <c r="R42" s="2"/>
      <c r="S42" s="2"/>
      <c r="T42" s="2"/>
      <c r="U42" s="2" t="s">
        <v>20</v>
      </c>
      <c r="V42" s="2" t="s">
        <v>20</v>
      </c>
      <c r="W42" s="2"/>
      <c r="X42" s="2"/>
      <c r="Y42" s="2"/>
      <c r="Z42" s="2"/>
      <c r="AA42" s="2"/>
      <c r="AB42" s="2" t="s">
        <v>20</v>
      </c>
      <c r="AC42" s="2" t="s">
        <v>20</v>
      </c>
      <c r="AD42" s="2"/>
      <c r="AE42" s="2"/>
      <c r="AF42" s="2"/>
      <c r="AG42" s="2"/>
      <c r="AH42" s="13"/>
      <c r="AI42" s="15">
        <f>SUM(D42:F42,J42:M42,P42:T42,W42:AA42,AD42:AG42)</f>
        <v>0</v>
      </c>
      <c r="AJ42" s="2"/>
      <c r="AK42" s="2">
        <v>8</v>
      </c>
    </row>
    <row r="43" spans="2:37" x14ac:dyDescent="0.25">
      <c r="C43" t="s">
        <v>10</v>
      </c>
      <c r="D43" s="2"/>
      <c r="E43" s="2"/>
      <c r="F43" s="4"/>
      <c r="G43" s="2" t="s">
        <v>20</v>
      </c>
      <c r="H43" s="2" t="s">
        <v>20</v>
      </c>
      <c r="I43" s="4" t="s">
        <v>25</v>
      </c>
      <c r="J43" s="2"/>
      <c r="K43" s="2"/>
      <c r="L43" s="2"/>
      <c r="M43" s="2"/>
      <c r="N43" s="2" t="s">
        <v>20</v>
      </c>
      <c r="O43" s="2" t="s">
        <v>20</v>
      </c>
      <c r="P43" s="2"/>
      <c r="Q43" s="2"/>
      <c r="R43" s="2"/>
      <c r="S43" s="2"/>
      <c r="T43" s="2"/>
      <c r="U43" s="2" t="s">
        <v>20</v>
      </c>
      <c r="V43" s="2" t="s">
        <v>20</v>
      </c>
      <c r="W43" s="2"/>
      <c r="X43" s="2"/>
      <c r="Y43" s="2"/>
      <c r="Z43" s="2"/>
      <c r="AA43" s="2"/>
      <c r="AB43" s="2" t="s">
        <v>20</v>
      </c>
      <c r="AC43" s="2" t="s">
        <v>20</v>
      </c>
      <c r="AD43" s="2"/>
      <c r="AE43" s="2"/>
      <c r="AF43" s="2"/>
      <c r="AG43" s="2"/>
      <c r="AH43" s="19"/>
      <c r="AI43" s="15">
        <f t="shared" ref="AI43:AI52" si="3">SUM(D43:F43,J43:M43,P43:T43,W43:AA43,AD43:AG43)</f>
        <v>0</v>
      </c>
      <c r="AJ43" s="2"/>
      <c r="AK43" s="2"/>
    </row>
    <row r="44" spans="2:37" x14ac:dyDescent="0.25">
      <c r="B44" t="s">
        <v>76</v>
      </c>
      <c r="C44" t="s">
        <v>8</v>
      </c>
      <c r="D44" s="2"/>
      <c r="E44" s="2"/>
      <c r="F44" s="4"/>
      <c r="G44" s="2" t="s">
        <v>20</v>
      </c>
      <c r="H44" s="2" t="s">
        <v>20</v>
      </c>
      <c r="I44" s="4" t="s">
        <v>25</v>
      </c>
      <c r="J44" s="2"/>
      <c r="K44" s="2"/>
      <c r="L44" s="2"/>
      <c r="M44" s="2"/>
      <c r="N44" s="2" t="s">
        <v>20</v>
      </c>
      <c r="O44" s="2" t="s">
        <v>20</v>
      </c>
      <c r="P44" s="2"/>
      <c r="Q44" s="2"/>
      <c r="R44" s="2"/>
      <c r="S44" s="2"/>
      <c r="T44" s="2"/>
      <c r="U44" s="2" t="s">
        <v>20</v>
      </c>
      <c r="V44" s="2" t="s">
        <v>20</v>
      </c>
      <c r="W44" s="2"/>
      <c r="X44" s="2"/>
      <c r="Y44" s="2"/>
      <c r="Z44" s="2"/>
      <c r="AA44" s="2"/>
      <c r="AB44" s="2" t="s">
        <v>20</v>
      </c>
      <c r="AC44" s="2" t="s">
        <v>20</v>
      </c>
      <c r="AD44" s="2"/>
      <c r="AE44" s="2"/>
      <c r="AF44" s="2"/>
      <c r="AG44" s="2"/>
      <c r="AH44" s="13"/>
      <c r="AI44" s="15">
        <f t="shared" si="3"/>
        <v>0</v>
      </c>
      <c r="AJ44" s="2"/>
      <c r="AK44" s="2"/>
    </row>
    <row r="45" spans="2:37" x14ac:dyDescent="0.25">
      <c r="B45" t="s">
        <v>77</v>
      </c>
      <c r="C45" t="s">
        <v>13</v>
      </c>
      <c r="D45" s="2"/>
      <c r="E45" s="2"/>
      <c r="F45" s="4"/>
      <c r="G45" s="2" t="s">
        <v>20</v>
      </c>
      <c r="H45" s="2" t="s">
        <v>20</v>
      </c>
      <c r="I45" s="4" t="s">
        <v>25</v>
      </c>
      <c r="K45" s="2"/>
      <c r="L45" s="2"/>
      <c r="M45" s="2"/>
      <c r="N45" s="2" t="s">
        <v>20</v>
      </c>
      <c r="O45" s="2" t="s">
        <v>20</v>
      </c>
      <c r="P45" s="2"/>
      <c r="Q45" s="2"/>
      <c r="R45" s="2"/>
      <c r="S45" s="2"/>
      <c r="T45" s="2"/>
      <c r="U45" s="2" t="s">
        <v>20</v>
      </c>
      <c r="V45" s="2" t="s">
        <v>20</v>
      </c>
      <c r="W45" s="2"/>
      <c r="X45" s="2"/>
      <c r="Y45" s="2"/>
      <c r="Z45" s="2"/>
      <c r="AA45" s="2"/>
      <c r="AB45" s="2" t="s">
        <v>20</v>
      </c>
      <c r="AC45" s="2" t="s">
        <v>20</v>
      </c>
      <c r="AD45" s="2"/>
      <c r="AE45" s="2"/>
      <c r="AF45" s="2"/>
      <c r="AG45" s="2"/>
      <c r="AH45" s="13"/>
      <c r="AI45" s="15">
        <f t="shared" si="3"/>
        <v>0</v>
      </c>
      <c r="AJ45" s="2"/>
      <c r="AK45" s="2"/>
    </row>
    <row r="46" spans="2:37" x14ac:dyDescent="0.25">
      <c r="B46" s="8">
        <v>176</v>
      </c>
      <c r="C46" t="s">
        <v>11</v>
      </c>
      <c r="D46" s="2"/>
      <c r="E46" s="2"/>
      <c r="F46" s="4"/>
      <c r="G46" s="2" t="s">
        <v>20</v>
      </c>
      <c r="H46" s="2" t="s">
        <v>20</v>
      </c>
      <c r="I46" s="4" t="s">
        <v>25</v>
      </c>
      <c r="J46" s="2"/>
      <c r="K46" s="2"/>
      <c r="L46" s="2"/>
      <c r="M46" s="2"/>
      <c r="N46" s="2" t="s">
        <v>20</v>
      </c>
      <c r="O46" s="2" t="s">
        <v>20</v>
      </c>
      <c r="P46" s="2"/>
      <c r="Q46" s="2"/>
      <c r="R46" s="2"/>
      <c r="S46" s="2"/>
      <c r="T46" s="2"/>
      <c r="U46" s="2" t="s">
        <v>20</v>
      </c>
      <c r="V46" s="2" t="s">
        <v>20</v>
      </c>
      <c r="W46" s="2"/>
      <c r="X46" s="2"/>
      <c r="Y46" s="2"/>
      <c r="Z46" s="2"/>
      <c r="AA46" s="2"/>
      <c r="AB46" s="2" t="s">
        <v>20</v>
      </c>
      <c r="AC46" s="2" t="s">
        <v>20</v>
      </c>
      <c r="AD46" s="2"/>
      <c r="AE46" s="2"/>
      <c r="AF46" s="2"/>
      <c r="AG46" s="2"/>
      <c r="AH46" s="13"/>
      <c r="AI46" s="15">
        <f t="shared" si="3"/>
        <v>0</v>
      </c>
      <c r="AJ46" s="2"/>
      <c r="AK46" s="2"/>
    </row>
    <row r="47" spans="2:37" x14ac:dyDescent="0.25">
      <c r="C47" t="s">
        <v>35</v>
      </c>
      <c r="D47" s="2"/>
      <c r="E47" s="2"/>
      <c r="F47" s="4"/>
      <c r="G47" s="2" t="s">
        <v>20</v>
      </c>
      <c r="H47" s="2" t="s">
        <v>20</v>
      </c>
      <c r="I47" s="4" t="s">
        <v>25</v>
      </c>
      <c r="J47" s="2"/>
      <c r="K47" s="2"/>
      <c r="L47" s="2"/>
      <c r="M47" s="2"/>
      <c r="N47" s="2" t="s">
        <v>20</v>
      </c>
      <c r="O47" s="2" t="s">
        <v>20</v>
      </c>
      <c r="P47" s="2"/>
      <c r="Q47" s="2"/>
      <c r="R47" s="2"/>
      <c r="S47" s="2"/>
      <c r="T47" s="2"/>
      <c r="U47" s="2" t="s">
        <v>20</v>
      </c>
      <c r="V47" s="2" t="s">
        <v>20</v>
      </c>
      <c r="W47" s="2"/>
      <c r="X47" s="2"/>
      <c r="Y47" s="2"/>
      <c r="Z47" s="2"/>
      <c r="AA47" s="2"/>
      <c r="AB47" s="2" t="s">
        <v>20</v>
      </c>
      <c r="AC47" s="2" t="s">
        <v>20</v>
      </c>
      <c r="AD47" s="2"/>
      <c r="AE47" s="2"/>
      <c r="AF47" s="2"/>
      <c r="AG47" s="2"/>
      <c r="AH47" s="13"/>
      <c r="AI47" s="15">
        <f t="shared" si="3"/>
        <v>0</v>
      </c>
      <c r="AJ47" s="2"/>
      <c r="AK47" s="2"/>
    </row>
    <row r="48" spans="2:37" x14ac:dyDescent="0.25">
      <c r="C48" t="s">
        <v>7</v>
      </c>
      <c r="D48" s="2"/>
      <c r="E48" s="2"/>
      <c r="F48" s="4"/>
      <c r="G48" s="2" t="s">
        <v>20</v>
      </c>
      <c r="H48" s="2" t="s">
        <v>20</v>
      </c>
      <c r="I48" s="4" t="s">
        <v>25</v>
      </c>
      <c r="J48" s="2"/>
      <c r="K48" s="2"/>
      <c r="L48" s="2"/>
      <c r="M48" s="2"/>
      <c r="N48" s="2" t="s">
        <v>20</v>
      </c>
      <c r="O48" s="2" t="s">
        <v>20</v>
      </c>
      <c r="P48" s="2"/>
      <c r="Q48" s="2"/>
      <c r="R48" s="2"/>
      <c r="S48" s="2"/>
      <c r="T48" s="2"/>
      <c r="U48" s="2" t="s">
        <v>20</v>
      </c>
      <c r="V48" s="2" t="s">
        <v>20</v>
      </c>
      <c r="W48" s="2"/>
      <c r="X48" s="2"/>
      <c r="Y48" s="2"/>
      <c r="Z48" s="2"/>
      <c r="AA48" s="2"/>
      <c r="AB48" s="2" t="s">
        <v>20</v>
      </c>
      <c r="AC48" s="2" t="s">
        <v>20</v>
      </c>
      <c r="AD48" s="2"/>
      <c r="AE48" s="2"/>
      <c r="AF48" s="2"/>
      <c r="AG48" s="2"/>
      <c r="AH48" s="13"/>
      <c r="AI48" s="15">
        <f t="shared" si="3"/>
        <v>0</v>
      </c>
      <c r="AJ48" s="2"/>
      <c r="AK48" s="2"/>
    </row>
    <row r="49" spans="2:37" x14ac:dyDescent="0.25">
      <c r="C49" t="s">
        <v>12</v>
      </c>
      <c r="D49" s="2"/>
      <c r="E49" s="2"/>
      <c r="F49" s="4"/>
      <c r="G49" s="2" t="s">
        <v>20</v>
      </c>
      <c r="H49" s="2" t="s">
        <v>20</v>
      </c>
      <c r="I49" s="4" t="s">
        <v>25</v>
      </c>
      <c r="J49" s="2"/>
      <c r="K49" s="2"/>
      <c r="L49" s="2"/>
      <c r="M49" s="2"/>
      <c r="N49" s="2" t="s">
        <v>20</v>
      </c>
      <c r="O49" s="2" t="s">
        <v>20</v>
      </c>
      <c r="P49" s="2"/>
      <c r="Q49" s="2"/>
      <c r="R49" s="2"/>
      <c r="S49" s="2"/>
      <c r="T49" s="2"/>
      <c r="U49" s="2" t="s">
        <v>20</v>
      </c>
      <c r="V49" s="2" t="s">
        <v>20</v>
      </c>
      <c r="W49" s="2"/>
      <c r="X49" s="2"/>
      <c r="Y49" s="2"/>
      <c r="Z49" s="2"/>
      <c r="AA49" s="2"/>
      <c r="AB49" s="2" t="s">
        <v>20</v>
      </c>
      <c r="AC49" s="2" t="s">
        <v>20</v>
      </c>
      <c r="AD49" s="2"/>
      <c r="AE49" s="2"/>
      <c r="AF49" s="2"/>
      <c r="AG49" s="2"/>
      <c r="AH49" s="13"/>
      <c r="AI49" s="15">
        <f t="shared" si="3"/>
        <v>0</v>
      </c>
      <c r="AJ49" s="2"/>
      <c r="AK49" s="2"/>
    </row>
    <row r="50" spans="2:37" x14ac:dyDescent="0.25">
      <c r="C50" t="s">
        <v>80</v>
      </c>
      <c r="D50" s="2"/>
      <c r="E50" s="2"/>
      <c r="F50" s="4"/>
      <c r="G50" s="2" t="s">
        <v>20</v>
      </c>
      <c r="H50" s="2" t="s">
        <v>20</v>
      </c>
      <c r="I50" s="4" t="s">
        <v>25</v>
      </c>
      <c r="J50" s="2"/>
      <c r="K50" s="2"/>
      <c r="L50" s="2"/>
      <c r="M50" s="2"/>
      <c r="N50" s="2" t="s">
        <v>20</v>
      </c>
      <c r="O50" s="2" t="s">
        <v>20</v>
      </c>
      <c r="P50" s="2"/>
      <c r="Q50" s="2"/>
      <c r="R50" s="2"/>
      <c r="S50" s="2"/>
      <c r="T50" s="2"/>
      <c r="U50" s="2" t="s">
        <v>20</v>
      </c>
      <c r="V50" s="2" t="s">
        <v>20</v>
      </c>
      <c r="W50" s="2"/>
      <c r="X50" s="2"/>
      <c r="Y50" s="2"/>
      <c r="Z50" s="2"/>
      <c r="AA50" s="2"/>
      <c r="AB50" s="2" t="s">
        <v>20</v>
      </c>
      <c r="AC50" s="2" t="s">
        <v>20</v>
      </c>
      <c r="AD50" s="2"/>
      <c r="AE50" s="2"/>
      <c r="AF50" s="2"/>
      <c r="AG50" s="2"/>
      <c r="AH50" s="13"/>
      <c r="AI50" s="15">
        <f t="shared" si="3"/>
        <v>0</v>
      </c>
      <c r="AJ50" s="2"/>
      <c r="AK50" s="2"/>
    </row>
    <row r="51" spans="2:37" x14ac:dyDescent="0.25">
      <c r="C51" t="s">
        <v>75</v>
      </c>
      <c r="D51" s="2"/>
      <c r="E51" s="2"/>
      <c r="F51" s="4"/>
      <c r="G51" s="2" t="s">
        <v>20</v>
      </c>
      <c r="H51" s="2" t="s">
        <v>20</v>
      </c>
      <c r="I51" s="4" t="s">
        <v>25</v>
      </c>
      <c r="J51" s="2"/>
      <c r="K51" s="2"/>
      <c r="L51" s="2"/>
      <c r="M51" s="2"/>
      <c r="N51" s="2" t="s">
        <v>20</v>
      </c>
      <c r="O51" s="2" t="s">
        <v>20</v>
      </c>
      <c r="P51" s="2"/>
      <c r="Q51" s="2"/>
      <c r="R51" s="2"/>
      <c r="S51" s="2"/>
      <c r="T51" s="2"/>
      <c r="U51" s="2" t="s">
        <v>20</v>
      </c>
      <c r="V51" s="2" t="s">
        <v>20</v>
      </c>
      <c r="W51" s="2"/>
      <c r="X51" s="2"/>
      <c r="Y51" s="2"/>
      <c r="Z51" s="2"/>
      <c r="AA51" s="2"/>
      <c r="AB51" s="2" t="s">
        <v>20</v>
      </c>
      <c r="AC51" s="2" t="s">
        <v>20</v>
      </c>
      <c r="AD51" s="2"/>
      <c r="AE51" s="2"/>
      <c r="AF51" s="2"/>
      <c r="AG51" s="2"/>
      <c r="AH51" s="13"/>
      <c r="AI51" s="15">
        <f t="shared" si="3"/>
        <v>0</v>
      </c>
      <c r="AJ51" s="2"/>
      <c r="AK51" s="2"/>
    </row>
    <row r="52" spans="2:37" x14ac:dyDescent="0.25">
      <c r="C52" t="s">
        <v>9</v>
      </c>
      <c r="D52" s="2"/>
      <c r="E52" s="2"/>
      <c r="F52" s="4"/>
      <c r="G52" s="2" t="s">
        <v>20</v>
      </c>
      <c r="H52" s="2" t="s">
        <v>20</v>
      </c>
      <c r="I52" s="4" t="s">
        <v>25</v>
      </c>
      <c r="J52" s="2"/>
      <c r="K52" s="2"/>
      <c r="L52" s="2"/>
      <c r="M52" s="2"/>
      <c r="N52" s="2" t="s">
        <v>20</v>
      </c>
      <c r="O52" s="2" t="s">
        <v>20</v>
      </c>
      <c r="P52" s="2"/>
      <c r="Q52" s="2"/>
      <c r="R52" s="2"/>
      <c r="S52" s="2"/>
      <c r="T52" s="2"/>
      <c r="U52" s="2" t="s">
        <v>20</v>
      </c>
      <c r="V52" s="2" t="s">
        <v>20</v>
      </c>
      <c r="W52" s="2"/>
      <c r="X52" s="2"/>
      <c r="Y52" s="2"/>
      <c r="Z52" s="2"/>
      <c r="AA52" s="2"/>
      <c r="AB52" s="2" t="s">
        <v>20</v>
      </c>
      <c r="AC52" s="2" t="s">
        <v>20</v>
      </c>
      <c r="AD52" s="2"/>
      <c r="AE52" s="2"/>
      <c r="AF52" s="2"/>
      <c r="AG52" s="2"/>
      <c r="AH52" s="13"/>
      <c r="AI52" s="15">
        <f t="shared" si="3"/>
        <v>0</v>
      </c>
      <c r="AJ52" s="2"/>
      <c r="AK52" s="2"/>
    </row>
    <row r="53" spans="2:37" s="1" customFormat="1" x14ac:dyDescent="0.25"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16">
        <f>SUM(AI42:AI52)</f>
        <v>0</v>
      </c>
      <c r="AJ53" s="3"/>
      <c r="AK53" s="18">
        <f>SUM(AI53,AJ42:AK42)</f>
        <v>8</v>
      </c>
    </row>
    <row r="54" spans="2:37" x14ac:dyDescent="0.25">
      <c r="B54" s="6" t="s">
        <v>70</v>
      </c>
      <c r="C54" t="s">
        <v>16</v>
      </c>
      <c r="D54" s="4" t="s">
        <v>25</v>
      </c>
      <c r="E54" s="2" t="s">
        <v>20</v>
      </c>
      <c r="F54" s="2" t="s">
        <v>20</v>
      </c>
      <c r="G54" s="2"/>
      <c r="H54" s="2"/>
      <c r="I54" s="2"/>
      <c r="J54" s="2"/>
      <c r="L54" s="2" t="s">
        <v>20</v>
      </c>
      <c r="M54" s="2" t="s">
        <v>20</v>
      </c>
      <c r="N54" s="2"/>
      <c r="O54" s="2"/>
      <c r="P54" s="2"/>
      <c r="Q54" s="4" t="s">
        <v>25</v>
      </c>
      <c r="R54" s="2" t="s">
        <v>33</v>
      </c>
      <c r="S54" s="2" t="s">
        <v>20</v>
      </c>
      <c r="T54" s="2" t="s">
        <v>20</v>
      </c>
      <c r="U54" s="2"/>
      <c r="V54" s="2"/>
      <c r="W54" s="2"/>
      <c r="X54" s="2"/>
      <c r="Z54" s="2" t="s">
        <v>20</v>
      </c>
      <c r="AA54" s="2" t="s">
        <v>20</v>
      </c>
      <c r="AB54" s="4" t="s">
        <v>25</v>
      </c>
      <c r="AC54" s="2"/>
      <c r="AD54" s="2"/>
      <c r="AE54" s="2"/>
      <c r="AF54" s="2"/>
      <c r="AG54" s="2" t="s">
        <v>20</v>
      </c>
      <c r="AH54" s="2" t="s">
        <v>20</v>
      </c>
      <c r="AI54" s="15">
        <f>SUM(G54:K54,N54:P54,U54:Y54,AC54:AF54)</f>
        <v>0</v>
      </c>
      <c r="AJ54" s="2">
        <v>8</v>
      </c>
      <c r="AK54" s="2">
        <v>24</v>
      </c>
    </row>
    <row r="55" spans="2:37" x14ac:dyDescent="0.25">
      <c r="C55" t="s">
        <v>10</v>
      </c>
      <c r="D55" s="4" t="s">
        <v>25</v>
      </c>
      <c r="E55" s="2" t="s">
        <v>20</v>
      </c>
      <c r="F55" s="2" t="s">
        <v>20</v>
      </c>
      <c r="G55" s="2"/>
      <c r="H55" s="2"/>
      <c r="I55" s="2"/>
      <c r="J55" s="2"/>
      <c r="L55" s="2" t="s">
        <v>20</v>
      </c>
      <c r="M55" s="2" t="s">
        <v>20</v>
      </c>
      <c r="N55" s="2"/>
      <c r="O55" s="2"/>
      <c r="P55" s="2"/>
      <c r="Q55" s="4" t="s">
        <v>25</v>
      </c>
      <c r="R55" s="2" t="s">
        <v>33</v>
      </c>
      <c r="S55" s="2" t="s">
        <v>20</v>
      </c>
      <c r="T55" s="2" t="s">
        <v>20</v>
      </c>
      <c r="U55" s="2"/>
      <c r="V55" s="2"/>
      <c r="W55" s="2"/>
      <c r="X55" s="2"/>
      <c r="Z55" s="2" t="s">
        <v>20</v>
      </c>
      <c r="AA55" s="2" t="s">
        <v>20</v>
      </c>
      <c r="AB55" s="4" t="s">
        <v>25</v>
      </c>
      <c r="AC55" s="2"/>
      <c r="AD55" s="2"/>
      <c r="AE55" s="2"/>
      <c r="AF55" s="2"/>
      <c r="AG55" s="2" t="s">
        <v>20</v>
      </c>
      <c r="AH55" s="2" t="s">
        <v>20</v>
      </c>
      <c r="AI55" s="15">
        <f t="shared" ref="AI55:AI64" si="4">SUM(G55:K55,N55:P55,U55:Y55,AC55:AF55)</f>
        <v>0</v>
      </c>
      <c r="AJ55" s="2"/>
      <c r="AK55" s="2"/>
    </row>
    <row r="56" spans="2:37" x14ac:dyDescent="0.25">
      <c r="B56" t="s">
        <v>78</v>
      </c>
      <c r="C56" t="s">
        <v>8</v>
      </c>
      <c r="D56" s="4" t="s">
        <v>25</v>
      </c>
      <c r="E56" s="2" t="s">
        <v>20</v>
      </c>
      <c r="F56" s="2" t="s">
        <v>20</v>
      </c>
      <c r="G56" s="2"/>
      <c r="H56" s="2"/>
      <c r="I56" s="2"/>
      <c r="J56" s="2"/>
      <c r="L56" s="2" t="s">
        <v>20</v>
      </c>
      <c r="M56" s="2" t="s">
        <v>20</v>
      </c>
      <c r="N56" s="2"/>
      <c r="O56" s="2"/>
      <c r="P56" s="2"/>
      <c r="Q56" s="4" t="s">
        <v>25</v>
      </c>
      <c r="R56" s="2" t="s">
        <v>33</v>
      </c>
      <c r="S56" s="2" t="s">
        <v>20</v>
      </c>
      <c r="T56" s="2" t="s">
        <v>20</v>
      </c>
      <c r="U56" s="2"/>
      <c r="V56" s="2"/>
      <c r="W56" s="2"/>
      <c r="X56" s="2"/>
      <c r="Z56" s="2" t="s">
        <v>20</v>
      </c>
      <c r="AA56" s="2" t="s">
        <v>20</v>
      </c>
      <c r="AB56" s="4" t="s">
        <v>25</v>
      </c>
      <c r="AC56" s="2"/>
      <c r="AD56" s="2"/>
      <c r="AE56" s="2"/>
      <c r="AF56" s="2"/>
      <c r="AG56" s="2" t="s">
        <v>20</v>
      </c>
      <c r="AH56" s="2" t="s">
        <v>20</v>
      </c>
      <c r="AI56" s="15">
        <f t="shared" si="4"/>
        <v>0</v>
      </c>
      <c r="AJ56" s="2"/>
      <c r="AK56" s="2"/>
    </row>
    <row r="57" spans="2:37" x14ac:dyDescent="0.25">
      <c r="C57" t="s">
        <v>13</v>
      </c>
      <c r="D57" s="4" t="s">
        <v>25</v>
      </c>
      <c r="E57" s="2" t="s">
        <v>20</v>
      </c>
      <c r="F57" s="2" t="s">
        <v>20</v>
      </c>
      <c r="G57" s="2"/>
      <c r="H57" s="2"/>
      <c r="I57" s="2"/>
      <c r="J57" s="2"/>
      <c r="L57" s="2" t="s">
        <v>20</v>
      </c>
      <c r="M57" s="2" t="s">
        <v>20</v>
      </c>
      <c r="N57" s="2"/>
      <c r="O57" s="2"/>
      <c r="P57" s="2"/>
      <c r="Q57" s="4" t="s">
        <v>25</v>
      </c>
      <c r="R57" s="2" t="s">
        <v>33</v>
      </c>
      <c r="S57" s="2" t="s">
        <v>20</v>
      </c>
      <c r="T57" s="2" t="s">
        <v>20</v>
      </c>
      <c r="U57" s="2"/>
      <c r="V57" s="2"/>
      <c r="W57" s="2"/>
      <c r="X57" s="2"/>
      <c r="Z57" s="2" t="s">
        <v>20</v>
      </c>
      <c r="AA57" s="2" t="s">
        <v>20</v>
      </c>
      <c r="AB57" s="4" t="s">
        <v>25</v>
      </c>
      <c r="AC57" s="2"/>
      <c r="AD57" s="2"/>
      <c r="AE57" s="2"/>
      <c r="AF57" s="2"/>
      <c r="AG57" s="2" t="s">
        <v>20</v>
      </c>
      <c r="AH57" s="2" t="s">
        <v>20</v>
      </c>
      <c r="AI57" s="15">
        <f t="shared" si="4"/>
        <v>0</v>
      </c>
      <c r="AJ57" s="2"/>
      <c r="AK57" s="2"/>
    </row>
    <row r="58" spans="2:37" x14ac:dyDescent="0.25">
      <c r="B58" s="8">
        <v>136</v>
      </c>
      <c r="C58" t="s">
        <v>11</v>
      </c>
      <c r="D58" s="4" t="s">
        <v>25</v>
      </c>
      <c r="E58" s="2" t="s">
        <v>20</v>
      </c>
      <c r="F58" s="2" t="s">
        <v>20</v>
      </c>
      <c r="G58" s="2"/>
      <c r="H58" s="2"/>
      <c r="I58" s="2"/>
      <c r="J58" s="2"/>
      <c r="L58" s="2" t="s">
        <v>20</v>
      </c>
      <c r="M58" s="2" t="s">
        <v>20</v>
      </c>
      <c r="N58" s="2"/>
      <c r="O58" s="2"/>
      <c r="P58" s="2"/>
      <c r="Q58" s="4" t="s">
        <v>25</v>
      </c>
      <c r="R58" s="2" t="s">
        <v>33</v>
      </c>
      <c r="S58" s="2" t="s">
        <v>20</v>
      </c>
      <c r="T58" s="2" t="s">
        <v>20</v>
      </c>
      <c r="U58" s="2"/>
      <c r="V58" s="2"/>
      <c r="W58" s="2"/>
      <c r="X58" s="2"/>
      <c r="Z58" s="2" t="s">
        <v>20</v>
      </c>
      <c r="AA58" s="2" t="s">
        <v>20</v>
      </c>
      <c r="AB58" s="4" t="s">
        <v>25</v>
      </c>
      <c r="AC58" s="2"/>
      <c r="AD58" s="2"/>
      <c r="AE58" s="2"/>
      <c r="AF58" s="2"/>
      <c r="AG58" s="2" t="s">
        <v>20</v>
      </c>
      <c r="AH58" s="2" t="s">
        <v>20</v>
      </c>
      <c r="AI58" s="15">
        <f t="shared" si="4"/>
        <v>0</v>
      </c>
      <c r="AJ58" s="2"/>
      <c r="AK58" s="2"/>
    </row>
    <row r="59" spans="2:37" x14ac:dyDescent="0.25">
      <c r="C59" t="s">
        <v>35</v>
      </c>
      <c r="D59" s="4" t="s">
        <v>25</v>
      </c>
      <c r="E59" s="2" t="s">
        <v>20</v>
      </c>
      <c r="F59" s="2" t="s">
        <v>20</v>
      </c>
      <c r="G59" s="2"/>
      <c r="H59" s="2"/>
      <c r="I59" s="2"/>
      <c r="J59" s="2"/>
      <c r="L59" s="2" t="s">
        <v>20</v>
      </c>
      <c r="M59" s="2" t="s">
        <v>20</v>
      </c>
      <c r="N59" s="2"/>
      <c r="O59" s="2"/>
      <c r="P59" s="2"/>
      <c r="Q59" s="4" t="s">
        <v>25</v>
      </c>
      <c r="R59" s="2" t="s">
        <v>33</v>
      </c>
      <c r="S59" s="2" t="s">
        <v>20</v>
      </c>
      <c r="T59" s="2" t="s">
        <v>20</v>
      </c>
      <c r="U59" s="2"/>
      <c r="V59" s="2"/>
      <c r="W59" s="2"/>
      <c r="X59" s="2"/>
      <c r="Z59" s="2" t="s">
        <v>20</v>
      </c>
      <c r="AA59" s="2" t="s">
        <v>20</v>
      </c>
      <c r="AB59" s="4" t="s">
        <v>25</v>
      </c>
      <c r="AC59" s="2"/>
      <c r="AD59" s="2"/>
      <c r="AE59" s="2"/>
      <c r="AF59" s="2"/>
      <c r="AG59" s="2" t="s">
        <v>20</v>
      </c>
      <c r="AH59" s="2" t="s">
        <v>20</v>
      </c>
      <c r="AI59" s="15">
        <f t="shared" si="4"/>
        <v>0</v>
      </c>
      <c r="AJ59" s="2"/>
      <c r="AK59" s="2"/>
    </row>
    <row r="60" spans="2:37" x14ac:dyDescent="0.25">
      <c r="B60" t="s">
        <v>84</v>
      </c>
      <c r="C60" t="s">
        <v>7</v>
      </c>
      <c r="D60" s="4" t="s">
        <v>25</v>
      </c>
      <c r="E60" s="2" t="s">
        <v>20</v>
      </c>
      <c r="F60" s="2" t="s">
        <v>20</v>
      </c>
      <c r="G60" s="2"/>
      <c r="H60" s="2"/>
      <c r="I60" s="2"/>
      <c r="J60" s="2"/>
      <c r="L60" s="2" t="s">
        <v>20</v>
      </c>
      <c r="M60" s="2" t="s">
        <v>20</v>
      </c>
      <c r="N60" s="2"/>
      <c r="O60" s="2"/>
      <c r="P60" s="2"/>
      <c r="Q60" s="4" t="s">
        <v>25</v>
      </c>
      <c r="R60" s="2" t="s">
        <v>33</v>
      </c>
      <c r="S60" s="2" t="s">
        <v>20</v>
      </c>
      <c r="T60" s="2" t="s">
        <v>20</v>
      </c>
      <c r="U60" s="2"/>
      <c r="V60" s="2"/>
      <c r="W60" s="2"/>
      <c r="X60" s="2"/>
      <c r="Z60" s="2" t="s">
        <v>20</v>
      </c>
      <c r="AA60" s="2" t="s">
        <v>20</v>
      </c>
      <c r="AB60" s="4" t="s">
        <v>25</v>
      </c>
      <c r="AC60" s="2"/>
      <c r="AD60" s="2"/>
      <c r="AE60" s="2"/>
      <c r="AF60" s="2"/>
      <c r="AG60" s="2" t="s">
        <v>20</v>
      </c>
      <c r="AH60" s="2" t="s">
        <v>20</v>
      </c>
      <c r="AI60" s="15">
        <f t="shared" si="4"/>
        <v>0</v>
      </c>
      <c r="AJ60" s="2"/>
      <c r="AK60" s="2"/>
    </row>
    <row r="61" spans="2:37" x14ac:dyDescent="0.25">
      <c r="B61" t="s">
        <v>85</v>
      </c>
      <c r="C61" t="s">
        <v>12</v>
      </c>
      <c r="D61" s="4" t="s">
        <v>25</v>
      </c>
      <c r="E61" s="2" t="s">
        <v>20</v>
      </c>
      <c r="F61" s="2" t="s">
        <v>20</v>
      </c>
      <c r="G61" s="2"/>
      <c r="H61" s="2"/>
      <c r="I61" s="2"/>
      <c r="J61" s="2"/>
      <c r="L61" s="2" t="s">
        <v>20</v>
      </c>
      <c r="M61" s="2" t="s">
        <v>20</v>
      </c>
      <c r="N61" s="2"/>
      <c r="O61" s="2"/>
      <c r="P61" s="2"/>
      <c r="Q61" s="4" t="s">
        <v>25</v>
      </c>
      <c r="R61" s="2" t="s">
        <v>33</v>
      </c>
      <c r="S61" s="2" t="s">
        <v>20</v>
      </c>
      <c r="T61" s="2" t="s">
        <v>20</v>
      </c>
      <c r="U61" s="2"/>
      <c r="V61" s="2"/>
      <c r="W61" s="2"/>
      <c r="X61" s="2"/>
      <c r="Z61" s="2" t="s">
        <v>20</v>
      </c>
      <c r="AA61" s="2" t="s">
        <v>20</v>
      </c>
      <c r="AB61" s="4" t="s">
        <v>25</v>
      </c>
      <c r="AC61" s="2"/>
      <c r="AD61" s="2"/>
      <c r="AE61" s="2"/>
      <c r="AF61" s="2"/>
      <c r="AG61" s="2" t="s">
        <v>20</v>
      </c>
      <c r="AH61" s="2" t="s">
        <v>20</v>
      </c>
      <c r="AI61" s="15">
        <f t="shared" si="4"/>
        <v>0</v>
      </c>
      <c r="AJ61" s="2"/>
      <c r="AK61" s="2"/>
    </row>
    <row r="62" spans="2:37" x14ac:dyDescent="0.25">
      <c r="C62" t="s">
        <v>80</v>
      </c>
      <c r="D62" s="4" t="s">
        <v>25</v>
      </c>
      <c r="E62" s="2" t="s">
        <v>20</v>
      </c>
      <c r="F62" s="2" t="s">
        <v>20</v>
      </c>
      <c r="G62" s="2"/>
      <c r="H62" s="2"/>
      <c r="I62" s="2"/>
      <c r="J62" s="2"/>
      <c r="L62" s="2" t="s">
        <v>20</v>
      </c>
      <c r="M62" s="2" t="s">
        <v>20</v>
      </c>
      <c r="N62" s="2"/>
      <c r="O62" s="2"/>
      <c r="P62" s="2"/>
      <c r="Q62" s="4" t="s">
        <v>25</v>
      </c>
      <c r="R62" s="2" t="s">
        <v>33</v>
      </c>
      <c r="S62" s="2" t="s">
        <v>20</v>
      </c>
      <c r="T62" s="2" t="s">
        <v>20</v>
      </c>
      <c r="U62" s="2"/>
      <c r="V62" s="2"/>
      <c r="W62" s="2"/>
      <c r="X62" s="2"/>
      <c r="Z62" s="2" t="s">
        <v>20</v>
      </c>
      <c r="AA62" s="2" t="s">
        <v>20</v>
      </c>
      <c r="AB62" s="4" t="s">
        <v>25</v>
      </c>
      <c r="AC62" s="2"/>
      <c r="AD62" s="2"/>
      <c r="AE62" s="2"/>
      <c r="AF62" s="2"/>
      <c r="AG62" s="2" t="s">
        <v>20</v>
      </c>
      <c r="AH62" s="2" t="s">
        <v>20</v>
      </c>
      <c r="AI62" s="15">
        <f t="shared" si="4"/>
        <v>0</v>
      </c>
      <c r="AJ62" s="2"/>
      <c r="AK62" s="2"/>
    </row>
    <row r="63" spans="2:37" x14ac:dyDescent="0.25">
      <c r="C63" t="s">
        <v>75</v>
      </c>
      <c r="D63" s="4" t="s">
        <v>25</v>
      </c>
      <c r="E63" s="2" t="s">
        <v>20</v>
      </c>
      <c r="F63" s="2" t="s">
        <v>20</v>
      </c>
      <c r="G63" s="2"/>
      <c r="H63" s="2"/>
      <c r="I63" s="2"/>
      <c r="J63" s="2"/>
      <c r="L63" s="2" t="s">
        <v>20</v>
      </c>
      <c r="M63" s="2" t="s">
        <v>20</v>
      </c>
      <c r="N63" s="2"/>
      <c r="O63" s="2"/>
      <c r="P63" s="2"/>
      <c r="Q63" s="4" t="s">
        <v>25</v>
      </c>
      <c r="R63" s="2" t="s">
        <v>33</v>
      </c>
      <c r="S63" s="2" t="s">
        <v>20</v>
      </c>
      <c r="T63" s="2" t="s">
        <v>20</v>
      </c>
      <c r="U63" s="2"/>
      <c r="V63" s="2"/>
      <c r="W63" s="2"/>
      <c r="X63" s="2"/>
      <c r="Z63" s="2" t="s">
        <v>20</v>
      </c>
      <c r="AA63" s="2" t="s">
        <v>20</v>
      </c>
      <c r="AB63" s="4" t="s">
        <v>25</v>
      </c>
      <c r="AC63" s="2"/>
      <c r="AD63" s="2"/>
      <c r="AE63" s="2"/>
      <c r="AF63" s="2"/>
      <c r="AG63" s="2" t="s">
        <v>20</v>
      </c>
      <c r="AH63" s="2" t="s">
        <v>20</v>
      </c>
      <c r="AI63" s="15">
        <f>SUM(G63:K63,N63:P63,U63:Y63,AC63:AF63)</f>
        <v>0</v>
      </c>
      <c r="AJ63" s="2"/>
      <c r="AK63" s="2"/>
    </row>
    <row r="64" spans="2:37" x14ac:dyDescent="0.25">
      <c r="C64" t="s">
        <v>9</v>
      </c>
      <c r="D64" s="4" t="s">
        <v>25</v>
      </c>
      <c r="E64" s="2" t="s">
        <v>20</v>
      </c>
      <c r="F64" s="2" t="s">
        <v>20</v>
      </c>
      <c r="G64" s="2"/>
      <c r="H64" s="2"/>
      <c r="I64" s="2"/>
      <c r="J64" s="2"/>
      <c r="L64" s="2" t="s">
        <v>20</v>
      </c>
      <c r="M64" s="2" t="s">
        <v>20</v>
      </c>
      <c r="N64" s="2"/>
      <c r="O64" s="2"/>
      <c r="P64" s="2"/>
      <c r="Q64" s="4" t="s">
        <v>25</v>
      </c>
      <c r="R64" s="2" t="s">
        <v>33</v>
      </c>
      <c r="S64" s="2" t="s">
        <v>20</v>
      </c>
      <c r="T64" s="2" t="s">
        <v>20</v>
      </c>
      <c r="U64" s="2"/>
      <c r="V64" s="2"/>
      <c r="W64" s="2"/>
      <c r="X64" s="2"/>
      <c r="Z64" s="2" t="s">
        <v>20</v>
      </c>
      <c r="AA64" s="2" t="s">
        <v>20</v>
      </c>
      <c r="AB64" s="4" t="s">
        <v>25</v>
      </c>
      <c r="AC64" s="2"/>
      <c r="AD64" s="2"/>
      <c r="AE64" s="2"/>
      <c r="AF64" s="2"/>
      <c r="AG64" s="2" t="s">
        <v>20</v>
      </c>
      <c r="AH64" s="2" t="s">
        <v>20</v>
      </c>
      <c r="AI64" s="15">
        <f t="shared" si="4"/>
        <v>0</v>
      </c>
      <c r="AJ64" s="2"/>
      <c r="AK64" s="2"/>
    </row>
    <row r="65" spans="2:37" s="1" customFormat="1" x14ac:dyDescent="0.25"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16">
        <f>SUM(AI54:AI64)</f>
        <v>0</v>
      </c>
      <c r="AJ65" s="3"/>
      <c r="AK65" s="3">
        <f>SUM(AI65,AJ54:AK54)</f>
        <v>32</v>
      </c>
    </row>
    <row r="66" spans="2:37" x14ac:dyDescent="0.25">
      <c r="B66" s="6" t="s">
        <v>71</v>
      </c>
      <c r="C66" t="s">
        <v>16</v>
      </c>
      <c r="D66" s="2"/>
      <c r="E66" s="2"/>
      <c r="F66" s="2"/>
      <c r="G66" s="4" t="s">
        <v>25</v>
      </c>
      <c r="H66" s="2" t="s">
        <v>33</v>
      </c>
      <c r="I66" s="2" t="s">
        <v>20</v>
      </c>
      <c r="J66" s="2" t="s">
        <v>20</v>
      </c>
      <c r="K66" s="2"/>
      <c r="L66" s="2"/>
      <c r="M66" s="2"/>
      <c r="N66" s="2"/>
      <c r="O66" s="2"/>
      <c r="P66" s="2" t="s">
        <v>20</v>
      </c>
      <c r="Q66" s="2" t="s">
        <v>20</v>
      </c>
      <c r="R66" s="14"/>
      <c r="S66" s="14"/>
      <c r="T66" s="14"/>
      <c r="U66" s="14"/>
      <c r="V66" s="14"/>
      <c r="W66" s="2" t="s">
        <v>20</v>
      </c>
      <c r="X66" s="2" t="s">
        <v>20</v>
      </c>
      <c r="Y66" s="2"/>
      <c r="Z66" s="2"/>
      <c r="AA66" s="2"/>
      <c r="AB66" s="4"/>
      <c r="AC66" s="4"/>
      <c r="AD66" s="2" t="s">
        <v>20</v>
      </c>
      <c r="AE66" s="2" t="s">
        <v>20</v>
      </c>
      <c r="AF66" s="2"/>
      <c r="AG66" s="2"/>
      <c r="AH66" s="13"/>
      <c r="AI66" s="26">
        <f>SUM(D66:F66,K66:O66,R66:V66,Y66:AC66,AF66:AG66)</f>
        <v>0</v>
      </c>
      <c r="AJ66" s="2">
        <v>8</v>
      </c>
      <c r="AK66" s="2">
        <v>8</v>
      </c>
    </row>
    <row r="67" spans="2:37" x14ac:dyDescent="0.25">
      <c r="C67" t="s">
        <v>10</v>
      </c>
      <c r="D67" s="2"/>
      <c r="E67" s="2"/>
      <c r="F67" s="2"/>
      <c r="G67" s="4" t="s">
        <v>25</v>
      </c>
      <c r="H67" s="2" t="s">
        <v>33</v>
      </c>
      <c r="I67" s="2" t="s">
        <v>20</v>
      </c>
      <c r="J67" s="2" t="s">
        <v>20</v>
      </c>
      <c r="K67" s="2"/>
      <c r="L67" s="2"/>
      <c r="M67" s="2"/>
      <c r="N67" s="2"/>
      <c r="O67" s="2"/>
      <c r="P67" s="2" t="s">
        <v>20</v>
      </c>
      <c r="Q67" s="2" t="s">
        <v>20</v>
      </c>
      <c r="R67" s="2"/>
      <c r="S67" s="2"/>
      <c r="T67" s="2"/>
      <c r="U67" s="2"/>
      <c r="V67" s="2"/>
      <c r="W67" s="2" t="s">
        <v>20</v>
      </c>
      <c r="X67" s="2" t="s">
        <v>20</v>
      </c>
      <c r="Y67" s="2"/>
      <c r="Z67" s="2"/>
      <c r="AA67" s="2"/>
      <c r="AB67" s="4"/>
      <c r="AC67" s="4"/>
      <c r="AD67" s="2" t="s">
        <v>20</v>
      </c>
      <c r="AE67" s="2" t="s">
        <v>20</v>
      </c>
      <c r="AF67" s="2"/>
      <c r="AG67" s="2"/>
      <c r="AH67" s="19"/>
      <c r="AI67" s="26">
        <f t="shared" ref="AI67:AI76" si="5">SUM(D67:F67,K67:O67,R67:V67,Y67:AC67,AF67:AG67)</f>
        <v>0</v>
      </c>
      <c r="AJ67" s="2"/>
      <c r="AK67" s="2"/>
    </row>
    <row r="68" spans="2:37" x14ac:dyDescent="0.25">
      <c r="B68" t="s">
        <v>31</v>
      </c>
      <c r="C68" t="s">
        <v>8</v>
      </c>
      <c r="D68" s="2"/>
      <c r="E68" s="2"/>
      <c r="F68" s="2"/>
      <c r="G68" s="4" t="s">
        <v>25</v>
      </c>
      <c r="H68" s="2" t="s">
        <v>33</v>
      </c>
      <c r="I68" s="2" t="s">
        <v>20</v>
      </c>
      <c r="J68" s="2" t="s">
        <v>20</v>
      </c>
      <c r="K68" s="2"/>
      <c r="L68" s="2"/>
      <c r="M68" s="2"/>
      <c r="N68" s="2"/>
      <c r="O68" s="2"/>
      <c r="P68" s="2" t="s">
        <v>20</v>
      </c>
      <c r="Q68" s="2" t="s">
        <v>20</v>
      </c>
      <c r="R68" s="2"/>
      <c r="S68" s="2"/>
      <c r="T68" s="2"/>
      <c r="U68" s="2"/>
      <c r="V68" s="2"/>
      <c r="W68" s="2" t="s">
        <v>20</v>
      </c>
      <c r="X68" s="2" t="s">
        <v>20</v>
      </c>
      <c r="Y68" s="2"/>
      <c r="Z68" s="2"/>
      <c r="AA68" s="2"/>
      <c r="AB68" s="4"/>
      <c r="AC68" s="4"/>
      <c r="AD68" s="2" t="s">
        <v>20</v>
      </c>
      <c r="AE68" s="2" t="s">
        <v>20</v>
      </c>
      <c r="AF68" s="2"/>
      <c r="AG68" s="2"/>
      <c r="AH68" s="13"/>
      <c r="AI68" s="26">
        <f t="shared" si="5"/>
        <v>0</v>
      </c>
      <c r="AJ68" s="2"/>
      <c r="AK68" s="2"/>
    </row>
    <row r="69" spans="2:37" x14ac:dyDescent="0.25">
      <c r="B69" s="8">
        <v>160</v>
      </c>
      <c r="C69" t="s">
        <v>13</v>
      </c>
      <c r="D69" s="2"/>
      <c r="E69" s="2"/>
      <c r="F69" s="2"/>
      <c r="G69" s="4" t="s">
        <v>25</v>
      </c>
      <c r="H69" s="2" t="s">
        <v>33</v>
      </c>
      <c r="I69" s="2" t="s">
        <v>20</v>
      </c>
      <c r="J69" s="2" t="s">
        <v>20</v>
      </c>
      <c r="K69" s="2"/>
      <c r="L69" s="2"/>
      <c r="M69" s="2"/>
      <c r="N69" s="2"/>
      <c r="O69" s="2"/>
      <c r="P69" s="2" t="s">
        <v>20</v>
      </c>
      <c r="Q69" s="2" t="s">
        <v>20</v>
      </c>
      <c r="R69" s="2"/>
      <c r="S69" s="2"/>
      <c r="T69" s="2"/>
      <c r="U69" s="2"/>
      <c r="V69" s="2"/>
      <c r="W69" s="2" t="s">
        <v>20</v>
      </c>
      <c r="X69" s="2" t="s">
        <v>20</v>
      </c>
      <c r="Y69" s="2"/>
      <c r="Z69" s="2"/>
      <c r="AA69" s="2"/>
      <c r="AB69" s="4"/>
      <c r="AC69" s="4"/>
      <c r="AD69" s="2" t="s">
        <v>20</v>
      </c>
      <c r="AE69" s="2" t="s">
        <v>20</v>
      </c>
      <c r="AF69" s="2"/>
      <c r="AG69" s="2"/>
      <c r="AH69" s="13"/>
      <c r="AI69" s="26">
        <f t="shared" si="5"/>
        <v>0</v>
      </c>
      <c r="AJ69" s="2"/>
      <c r="AK69" s="2"/>
    </row>
    <row r="70" spans="2:37" x14ac:dyDescent="0.25">
      <c r="B70" t="s">
        <v>77</v>
      </c>
      <c r="C70" t="s">
        <v>11</v>
      </c>
      <c r="D70" s="2"/>
      <c r="E70" s="2"/>
      <c r="F70" s="2"/>
      <c r="G70" s="4" t="s">
        <v>25</v>
      </c>
      <c r="H70" s="2" t="s">
        <v>33</v>
      </c>
      <c r="I70" s="2" t="s">
        <v>20</v>
      </c>
      <c r="J70" s="2" t="s">
        <v>20</v>
      </c>
      <c r="K70" s="2"/>
      <c r="L70" s="2"/>
      <c r="M70" s="2"/>
      <c r="N70" s="2"/>
      <c r="O70" s="2"/>
      <c r="P70" s="2" t="s">
        <v>20</v>
      </c>
      <c r="Q70" s="2" t="s">
        <v>20</v>
      </c>
      <c r="R70" s="2"/>
      <c r="S70" s="2"/>
      <c r="T70" s="2"/>
      <c r="U70" s="2"/>
      <c r="V70" s="2"/>
      <c r="W70" s="2" t="s">
        <v>20</v>
      </c>
      <c r="X70" s="2" t="s">
        <v>20</v>
      </c>
      <c r="Y70" s="2"/>
      <c r="Z70" s="2"/>
      <c r="AA70" s="2"/>
      <c r="AB70" s="4"/>
      <c r="AC70" s="4"/>
      <c r="AD70" s="2" t="s">
        <v>20</v>
      </c>
      <c r="AE70" s="2" t="s">
        <v>20</v>
      </c>
      <c r="AF70" s="2"/>
      <c r="AG70" s="2"/>
      <c r="AH70" s="13"/>
      <c r="AI70" s="26">
        <f t="shared" si="5"/>
        <v>0</v>
      </c>
      <c r="AJ70" s="2"/>
      <c r="AK70" s="2"/>
    </row>
    <row r="71" spans="2:37" x14ac:dyDescent="0.25">
      <c r="B71" t="s">
        <v>79</v>
      </c>
      <c r="C71" t="s">
        <v>35</v>
      </c>
      <c r="D71" s="2"/>
      <c r="E71" s="2"/>
      <c r="F71" s="2"/>
      <c r="G71" s="4" t="s">
        <v>25</v>
      </c>
      <c r="H71" s="2" t="s">
        <v>33</v>
      </c>
      <c r="I71" s="2" t="s">
        <v>20</v>
      </c>
      <c r="J71" s="2" t="s">
        <v>20</v>
      </c>
      <c r="K71" s="2"/>
      <c r="L71" s="2"/>
      <c r="M71" s="2"/>
      <c r="N71" s="2"/>
      <c r="O71" s="2"/>
      <c r="P71" s="2" t="s">
        <v>20</v>
      </c>
      <c r="Q71" s="2" t="s">
        <v>20</v>
      </c>
      <c r="R71" s="2"/>
      <c r="S71" s="2"/>
      <c r="T71" s="2"/>
      <c r="U71" s="2"/>
      <c r="V71" s="2"/>
      <c r="W71" s="2" t="s">
        <v>20</v>
      </c>
      <c r="X71" s="2" t="s">
        <v>20</v>
      </c>
      <c r="Y71" s="2"/>
      <c r="Z71" s="2"/>
      <c r="AA71" s="2"/>
      <c r="AB71" s="4"/>
      <c r="AC71" s="4"/>
      <c r="AD71" s="2" t="s">
        <v>20</v>
      </c>
      <c r="AE71" s="2" t="s">
        <v>20</v>
      </c>
      <c r="AF71" s="2"/>
      <c r="AG71" s="2"/>
      <c r="AH71" s="13"/>
      <c r="AI71" s="26">
        <f t="shared" si="5"/>
        <v>0</v>
      </c>
      <c r="AJ71" s="2"/>
      <c r="AK71" s="2"/>
    </row>
    <row r="72" spans="2:37" x14ac:dyDescent="0.25">
      <c r="C72" t="s">
        <v>7</v>
      </c>
      <c r="D72" s="2"/>
      <c r="E72" s="2"/>
      <c r="F72" s="2"/>
      <c r="G72" s="4" t="s">
        <v>25</v>
      </c>
      <c r="H72" s="2" t="s">
        <v>33</v>
      </c>
      <c r="I72" s="2" t="s">
        <v>20</v>
      </c>
      <c r="J72" s="2" t="s">
        <v>20</v>
      </c>
      <c r="K72" s="2"/>
      <c r="L72" s="2"/>
      <c r="M72" s="2"/>
      <c r="N72" s="2"/>
      <c r="O72" s="2"/>
      <c r="P72" s="2" t="s">
        <v>20</v>
      </c>
      <c r="Q72" s="2" t="s">
        <v>20</v>
      </c>
      <c r="R72" s="2"/>
      <c r="S72" s="2"/>
      <c r="T72" s="2"/>
      <c r="U72" s="2"/>
      <c r="V72" s="2"/>
      <c r="W72" s="2" t="s">
        <v>20</v>
      </c>
      <c r="X72" s="2" t="s">
        <v>20</v>
      </c>
      <c r="Y72" s="2"/>
      <c r="Z72" s="2"/>
      <c r="AA72" s="2"/>
      <c r="AB72" s="4"/>
      <c r="AC72" s="4"/>
      <c r="AD72" s="2" t="s">
        <v>20</v>
      </c>
      <c r="AE72" s="2" t="s">
        <v>20</v>
      </c>
      <c r="AF72" s="2"/>
      <c r="AG72" s="2"/>
      <c r="AH72" s="13"/>
      <c r="AI72" s="26">
        <f t="shared" si="5"/>
        <v>0</v>
      </c>
      <c r="AJ72" s="2"/>
      <c r="AK72" s="2"/>
    </row>
    <row r="73" spans="2:37" x14ac:dyDescent="0.25">
      <c r="C73" t="s">
        <v>12</v>
      </c>
      <c r="D73" s="2"/>
      <c r="E73" s="2"/>
      <c r="F73" s="2"/>
      <c r="G73" s="4" t="s">
        <v>25</v>
      </c>
      <c r="H73" s="2" t="s">
        <v>33</v>
      </c>
      <c r="I73" s="2" t="s">
        <v>20</v>
      </c>
      <c r="J73" s="2" t="s">
        <v>20</v>
      </c>
      <c r="K73" s="14"/>
      <c r="L73" s="14"/>
      <c r="M73" s="14"/>
      <c r="N73" s="14"/>
      <c r="O73" s="14"/>
      <c r="P73" s="2" t="s">
        <v>20</v>
      </c>
      <c r="Q73" s="2" t="s">
        <v>20</v>
      </c>
      <c r="R73" s="14"/>
      <c r="S73" s="14"/>
      <c r="T73" s="14"/>
      <c r="U73" s="14"/>
      <c r="V73" s="14"/>
      <c r="W73" s="2" t="s">
        <v>20</v>
      </c>
      <c r="X73" s="2" t="s">
        <v>20</v>
      </c>
      <c r="Y73" s="2"/>
      <c r="Z73" s="2"/>
      <c r="AA73" s="2"/>
      <c r="AB73" s="4"/>
      <c r="AC73" s="4"/>
      <c r="AD73" s="2" t="s">
        <v>20</v>
      </c>
      <c r="AE73" s="2" t="s">
        <v>20</v>
      </c>
      <c r="AF73" s="2"/>
      <c r="AG73" s="2"/>
      <c r="AH73" s="13"/>
      <c r="AI73" s="26">
        <f t="shared" si="5"/>
        <v>0</v>
      </c>
      <c r="AJ73" s="2"/>
      <c r="AK73" s="2"/>
    </row>
    <row r="74" spans="2:37" x14ac:dyDescent="0.25">
      <c r="C74" t="s">
        <v>80</v>
      </c>
      <c r="D74" s="2"/>
      <c r="E74" s="2"/>
      <c r="F74" s="2"/>
      <c r="G74" s="4" t="s">
        <v>25</v>
      </c>
      <c r="H74" s="2" t="s">
        <v>33</v>
      </c>
      <c r="I74" s="2" t="s">
        <v>20</v>
      </c>
      <c r="J74" s="2" t="s">
        <v>20</v>
      </c>
      <c r="K74" s="14"/>
      <c r="L74" s="14"/>
      <c r="M74" s="14"/>
      <c r="N74" s="14"/>
      <c r="O74" s="14"/>
      <c r="P74" s="2" t="s">
        <v>20</v>
      </c>
      <c r="Q74" s="2" t="s">
        <v>20</v>
      </c>
      <c r="R74" s="14"/>
      <c r="S74" s="14"/>
      <c r="T74" s="14"/>
      <c r="U74" s="14"/>
      <c r="V74" s="14"/>
      <c r="W74" s="2" t="s">
        <v>20</v>
      </c>
      <c r="X74" s="2" t="s">
        <v>20</v>
      </c>
      <c r="Y74" s="2"/>
      <c r="Z74" s="2"/>
      <c r="AA74" s="2"/>
      <c r="AB74" s="4"/>
      <c r="AC74" s="4"/>
      <c r="AD74" s="2" t="s">
        <v>20</v>
      </c>
      <c r="AE74" s="2" t="s">
        <v>20</v>
      </c>
      <c r="AF74" s="2"/>
      <c r="AG74" s="2"/>
      <c r="AH74" s="13"/>
      <c r="AI74" s="26">
        <f t="shared" si="5"/>
        <v>0</v>
      </c>
      <c r="AJ74" s="2"/>
      <c r="AK74" s="2"/>
    </row>
    <row r="75" spans="2:37" x14ac:dyDescent="0.25">
      <c r="C75" t="s">
        <v>75</v>
      </c>
      <c r="D75" s="2"/>
      <c r="E75" s="2"/>
      <c r="F75" s="2"/>
      <c r="G75" s="4" t="s">
        <v>25</v>
      </c>
      <c r="H75" s="2" t="s">
        <v>33</v>
      </c>
      <c r="I75" s="2" t="s">
        <v>20</v>
      </c>
      <c r="J75" s="2" t="s">
        <v>20</v>
      </c>
      <c r="K75" s="14"/>
      <c r="L75" s="14"/>
      <c r="M75" s="14"/>
      <c r="N75" s="14"/>
      <c r="O75" s="14"/>
      <c r="P75" s="2" t="s">
        <v>20</v>
      </c>
      <c r="Q75" s="2" t="s">
        <v>20</v>
      </c>
      <c r="R75" s="14"/>
      <c r="S75" s="14"/>
      <c r="T75" s="14"/>
      <c r="U75" s="14"/>
      <c r="V75" s="14"/>
      <c r="W75" s="2" t="s">
        <v>20</v>
      </c>
      <c r="X75" s="2" t="s">
        <v>20</v>
      </c>
      <c r="Y75" s="2"/>
      <c r="Z75" s="2"/>
      <c r="AA75" s="2"/>
      <c r="AB75" s="4"/>
      <c r="AC75" s="4"/>
      <c r="AD75" s="2" t="s">
        <v>20</v>
      </c>
      <c r="AE75" s="2" t="s">
        <v>20</v>
      </c>
      <c r="AF75" s="2"/>
      <c r="AG75" s="2"/>
      <c r="AH75" s="13"/>
      <c r="AI75" s="26">
        <f t="shared" si="5"/>
        <v>0</v>
      </c>
      <c r="AJ75" s="2"/>
      <c r="AK75" s="2"/>
    </row>
    <row r="76" spans="2:37" x14ac:dyDescent="0.25">
      <c r="C76" t="s">
        <v>9</v>
      </c>
      <c r="D76" s="2"/>
      <c r="E76" s="2"/>
      <c r="F76" s="2"/>
      <c r="G76" s="4" t="s">
        <v>25</v>
      </c>
      <c r="H76" s="2" t="s">
        <v>33</v>
      </c>
      <c r="I76" s="2" t="s">
        <v>20</v>
      </c>
      <c r="J76" s="2" t="s">
        <v>20</v>
      </c>
      <c r="K76" s="14"/>
      <c r="L76" s="14"/>
      <c r="M76" s="14"/>
      <c r="N76" s="14"/>
      <c r="O76" s="14"/>
      <c r="P76" s="2" t="s">
        <v>20</v>
      </c>
      <c r="Q76" s="2" t="s">
        <v>20</v>
      </c>
      <c r="R76" s="14"/>
      <c r="S76" s="14"/>
      <c r="T76" s="14"/>
      <c r="U76" s="14"/>
      <c r="V76" s="14"/>
      <c r="W76" s="2" t="s">
        <v>20</v>
      </c>
      <c r="X76" s="2" t="s">
        <v>20</v>
      </c>
      <c r="Y76" s="2"/>
      <c r="Z76" s="2"/>
      <c r="AA76" s="2"/>
      <c r="AB76" s="4"/>
      <c r="AC76" s="4"/>
      <c r="AD76" s="2" t="s">
        <v>20</v>
      </c>
      <c r="AE76" s="2" t="s">
        <v>20</v>
      </c>
      <c r="AF76" s="2"/>
      <c r="AG76" s="2"/>
      <c r="AH76" s="13"/>
      <c r="AI76" s="26">
        <f t="shared" si="5"/>
        <v>0</v>
      </c>
      <c r="AJ76" s="2"/>
      <c r="AK76" s="2"/>
    </row>
    <row r="77" spans="2:37" s="1" customFormat="1" x14ac:dyDescent="0.25"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16">
        <f>SUM(AI66:AI76)</f>
        <v>0</v>
      </c>
      <c r="AJ77" s="3"/>
      <c r="AK77" s="3">
        <f>SUM(AI77,AJ66:AK66)</f>
        <v>16</v>
      </c>
    </row>
    <row r="78" spans="2:37" x14ac:dyDescent="0.25">
      <c r="B78" s="6" t="s">
        <v>41</v>
      </c>
      <c r="C78" t="s">
        <v>16</v>
      </c>
      <c r="D78" s="2"/>
      <c r="E78" s="2"/>
      <c r="F78" s="2"/>
      <c r="G78" s="2" t="s">
        <v>20</v>
      </c>
      <c r="H78" s="2" t="s">
        <v>20</v>
      </c>
      <c r="K78" s="2"/>
      <c r="L78" s="2"/>
      <c r="M78" s="2"/>
      <c r="N78" s="2" t="s">
        <v>20</v>
      </c>
      <c r="O78" s="2" t="s">
        <v>20</v>
      </c>
      <c r="R78" s="14"/>
      <c r="S78" s="14"/>
      <c r="T78" s="14"/>
      <c r="U78" s="2" t="s">
        <v>20</v>
      </c>
      <c r="V78" s="2" t="s">
        <v>20</v>
      </c>
      <c r="Y78" s="2"/>
      <c r="Z78" s="2"/>
      <c r="AA78" s="2"/>
      <c r="AB78" s="2" t="s">
        <v>20</v>
      </c>
      <c r="AC78" s="2" t="s">
        <v>20</v>
      </c>
      <c r="AF78" s="2"/>
      <c r="AG78" s="2"/>
      <c r="AH78" s="2"/>
      <c r="AI78" s="26">
        <f>SUM(D78:F78,I78:M78,P78:T78,W78:AA78,AD78:AH78)</f>
        <v>0</v>
      </c>
      <c r="AJ78" s="2"/>
      <c r="AK78" s="2"/>
    </row>
    <row r="79" spans="2:37" x14ac:dyDescent="0.25">
      <c r="C79" t="s">
        <v>10</v>
      </c>
      <c r="D79" s="2"/>
      <c r="E79" s="2"/>
      <c r="F79" s="2"/>
      <c r="G79" s="2" t="s">
        <v>20</v>
      </c>
      <c r="H79" s="2" t="s">
        <v>20</v>
      </c>
      <c r="K79" s="2"/>
      <c r="L79" s="2"/>
      <c r="M79" s="2"/>
      <c r="N79" s="2" t="s">
        <v>20</v>
      </c>
      <c r="O79" s="2" t="s">
        <v>20</v>
      </c>
      <c r="R79" s="2"/>
      <c r="S79" s="2"/>
      <c r="T79" s="2"/>
      <c r="U79" s="2" t="s">
        <v>20</v>
      </c>
      <c r="V79" s="2" t="s">
        <v>20</v>
      </c>
      <c r="Y79" s="2"/>
      <c r="Z79" s="2"/>
      <c r="AA79" s="2"/>
      <c r="AB79" s="2" t="s">
        <v>20</v>
      </c>
      <c r="AC79" s="2" t="s">
        <v>20</v>
      </c>
      <c r="AF79" s="2"/>
      <c r="AG79" s="2"/>
      <c r="AH79" s="2"/>
      <c r="AI79" s="26">
        <f t="shared" ref="AI79:AI88" si="6">SUM(D79:F79,I79:M79,P79:T79,W79:AA79,AD79:AH79)</f>
        <v>0</v>
      </c>
      <c r="AJ79" s="2"/>
      <c r="AK79" s="2"/>
    </row>
    <row r="80" spans="2:37" x14ac:dyDescent="0.25">
      <c r="B80" t="s">
        <v>29</v>
      </c>
      <c r="C80" t="s">
        <v>8</v>
      </c>
      <c r="D80" s="2"/>
      <c r="E80" s="2"/>
      <c r="F80" s="2"/>
      <c r="G80" s="2" t="s">
        <v>20</v>
      </c>
      <c r="H80" s="2" t="s">
        <v>20</v>
      </c>
      <c r="K80" s="2"/>
      <c r="L80" s="2"/>
      <c r="M80" s="2"/>
      <c r="N80" s="2" t="s">
        <v>20</v>
      </c>
      <c r="O80" s="2" t="s">
        <v>20</v>
      </c>
      <c r="R80" s="2"/>
      <c r="S80" s="2"/>
      <c r="T80" s="2"/>
      <c r="U80" s="2" t="s">
        <v>20</v>
      </c>
      <c r="V80" s="2" t="s">
        <v>20</v>
      </c>
      <c r="Y80" s="2"/>
      <c r="Z80" s="2"/>
      <c r="AA80" s="2"/>
      <c r="AB80" s="2" t="s">
        <v>20</v>
      </c>
      <c r="AC80" s="2" t="s">
        <v>20</v>
      </c>
      <c r="AF80" s="2"/>
      <c r="AG80" s="2"/>
      <c r="AH80" s="2"/>
      <c r="AI80" s="26">
        <f t="shared" si="6"/>
        <v>0</v>
      </c>
      <c r="AJ80" s="2"/>
      <c r="AK80" s="2"/>
    </row>
    <row r="81" spans="2:37" x14ac:dyDescent="0.25">
      <c r="B81" s="8">
        <v>176</v>
      </c>
      <c r="C81" t="s">
        <v>13</v>
      </c>
      <c r="D81" s="2"/>
      <c r="E81" s="2"/>
      <c r="F81" s="2"/>
      <c r="G81" s="2" t="s">
        <v>20</v>
      </c>
      <c r="H81" s="2" t="s">
        <v>20</v>
      </c>
      <c r="K81" s="2"/>
      <c r="L81" s="2"/>
      <c r="M81" s="2"/>
      <c r="N81" s="2" t="s">
        <v>20</v>
      </c>
      <c r="O81" s="2" t="s">
        <v>20</v>
      </c>
      <c r="R81" s="2"/>
      <c r="S81" s="2"/>
      <c r="T81" s="2"/>
      <c r="U81" s="2" t="s">
        <v>20</v>
      </c>
      <c r="V81" s="2" t="s">
        <v>20</v>
      </c>
      <c r="Y81" s="2"/>
      <c r="Z81" s="2"/>
      <c r="AA81" s="2"/>
      <c r="AB81" s="2" t="s">
        <v>20</v>
      </c>
      <c r="AC81" s="2" t="s">
        <v>20</v>
      </c>
      <c r="AF81" s="2"/>
      <c r="AG81" s="2"/>
      <c r="AH81" s="2"/>
      <c r="AI81" s="26">
        <f t="shared" si="6"/>
        <v>0</v>
      </c>
      <c r="AJ81" s="2"/>
      <c r="AK81" s="2"/>
    </row>
    <row r="82" spans="2:37" x14ac:dyDescent="0.25">
      <c r="C82" t="s">
        <v>11</v>
      </c>
      <c r="D82" s="2"/>
      <c r="E82" s="2"/>
      <c r="F82" s="2"/>
      <c r="G82" s="2" t="s">
        <v>20</v>
      </c>
      <c r="H82" s="2" t="s">
        <v>20</v>
      </c>
      <c r="K82" s="2"/>
      <c r="L82" s="2"/>
      <c r="M82" s="2"/>
      <c r="N82" s="2" t="s">
        <v>20</v>
      </c>
      <c r="O82" s="2" t="s">
        <v>20</v>
      </c>
      <c r="R82" s="2"/>
      <c r="S82" s="2"/>
      <c r="T82" s="2"/>
      <c r="U82" s="2" t="s">
        <v>20</v>
      </c>
      <c r="V82" s="2" t="s">
        <v>20</v>
      </c>
      <c r="Y82" s="2"/>
      <c r="Z82" s="2"/>
      <c r="AA82" s="2"/>
      <c r="AB82" s="2" t="s">
        <v>20</v>
      </c>
      <c r="AC82" s="2" t="s">
        <v>20</v>
      </c>
      <c r="AF82" s="2"/>
      <c r="AG82" s="2"/>
      <c r="AH82" s="2"/>
      <c r="AI82" s="26">
        <f t="shared" si="6"/>
        <v>0</v>
      </c>
      <c r="AJ82" s="2"/>
      <c r="AK82" s="2"/>
    </row>
    <row r="83" spans="2:37" x14ac:dyDescent="0.25">
      <c r="C83" t="s">
        <v>35</v>
      </c>
      <c r="D83" s="2"/>
      <c r="E83" s="2"/>
      <c r="F83" s="2"/>
      <c r="G83" s="2" t="s">
        <v>20</v>
      </c>
      <c r="H83" s="2" t="s">
        <v>20</v>
      </c>
      <c r="K83" s="2"/>
      <c r="L83" s="2"/>
      <c r="M83" s="2"/>
      <c r="N83" s="2" t="s">
        <v>20</v>
      </c>
      <c r="O83" s="2" t="s">
        <v>20</v>
      </c>
      <c r="R83" s="2"/>
      <c r="S83" s="2"/>
      <c r="T83" s="2"/>
      <c r="U83" s="2" t="s">
        <v>20</v>
      </c>
      <c r="V83" s="2" t="s">
        <v>20</v>
      </c>
      <c r="Y83" s="2"/>
      <c r="Z83" s="2"/>
      <c r="AA83" s="2"/>
      <c r="AB83" s="2" t="s">
        <v>20</v>
      </c>
      <c r="AC83" s="2" t="s">
        <v>20</v>
      </c>
      <c r="AF83" s="2"/>
      <c r="AG83" s="2"/>
      <c r="AH83" s="2"/>
      <c r="AI83" s="26">
        <f t="shared" si="6"/>
        <v>0</v>
      </c>
      <c r="AJ83" s="2"/>
      <c r="AK83" s="2"/>
    </row>
    <row r="84" spans="2:37" x14ac:dyDescent="0.25">
      <c r="C84" t="s">
        <v>7</v>
      </c>
      <c r="D84" s="2"/>
      <c r="E84" s="2"/>
      <c r="F84" s="2"/>
      <c r="G84" s="2" t="s">
        <v>20</v>
      </c>
      <c r="H84" s="2" t="s">
        <v>20</v>
      </c>
      <c r="K84" s="2"/>
      <c r="L84" s="2"/>
      <c r="M84" s="2"/>
      <c r="N84" s="2" t="s">
        <v>20</v>
      </c>
      <c r="O84" s="2" t="s">
        <v>20</v>
      </c>
      <c r="R84" s="2"/>
      <c r="S84" s="2"/>
      <c r="T84" s="2"/>
      <c r="U84" s="2" t="s">
        <v>20</v>
      </c>
      <c r="V84" s="2" t="s">
        <v>20</v>
      </c>
      <c r="Y84" s="2"/>
      <c r="Z84" s="2"/>
      <c r="AA84" s="2"/>
      <c r="AB84" s="2" t="s">
        <v>20</v>
      </c>
      <c r="AC84" s="2" t="s">
        <v>20</v>
      </c>
      <c r="AF84" s="2"/>
      <c r="AG84" s="2"/>
      <c r="AH84" s="2"/>
      <c r="AI84" s="26">
        <f t="shared" si="6"/>
        <v>0</v>
      </c>
      <c r="AJ84" s="2"/>
      <c r="AK84" s="2"/>
    </row>
    <row r="85" spans="2:37" x14ac:dyDescent="0.25">
      <c r="C85" t="s">
        <v>12</v>
      </c>
      <c r="D85" s="2"/>
      <c r="E85" s="2"/>
      <c r="F85" s="2"/>
      <c r="G85" s="2" t="s">
        <v>20</v>
      </c>
      <c r="H85" s="2" t="s">
        <v>20</v>
      </c>
      <c r="K85" s="14"/>
      <c r="L85" s="14"/>
      <c r="M85" s="14"/>
      <c r="N85" s="2" t="s">
        <v>20</v>
      </c>
      <c r="O85" s="2" t="s">
        <v>20</v>
      </c>
      <c r="R85" s="14"/>
      <c r="S85" s="14"/>
      <c r="T85" s="14"/>
      <c r="U85" s="2" t="s">
        <v>20</v>
      </c>
      <c r="V85" s="2" t="s">
        <v>20</v>
      </c>
      <c r="Y85" s="2"/>
      <c r="Z85" s="2"/>
      <c r="AA85" s="2"/>
      <c r="AB85" s="2" t="s">
        <v>20</v>
      </c>
      <c r="AC85" s="2" t="s">
        <v>20</v>
      </c>
      <c r="AF85" s="2"/>
      <c r="AG85" s="2"/>
      <c r="AH85" s="2"/>
      <c r="AI85" s="26">
        <f t="shared" si="6"/>
        <v>0</v>
      </c>
      <c r="AJ85" s="2"/>
      <c r="AK85" s="2"/>
    </row>
    <row r="86" spans="2:37" x14ac:dyDescent="0.25">
      <c r="C86" t="s">
        <v>80</v>
      </c>
      <c r="D86" s="2"/>
      <c r="E86" s="2"/>
      <c r="F86" s="2"/>
      <c r="G86" s="2" t="s">
        <v>20</v>
      </c>
      <c r="H86" s="2" t="s">
        <v>20</v>
      </c>
      <c r="K86" s="14"/>
      <c r="L86" s="14"/>
      <c r="M86" s="14"/>
      <c r="N86" s="2" t="s">
        <v>20</v>
      </c>
      <c r="O86" s="2" t="s">
        <v>20</v>
      </c>
      <c r="R86" s="14"/>
      <c r="S86" s="14"/>
      <c r="T86" s="14"/>
      <c r="U86" s="2" t="s">
        <v>20</v>
      </c>
      <c r="V86" s="2" t="s">
        <v>20</v>
      </c>
      <c r="Y86" s="2"/>
      <c r="Z86" s="2"/>
      <c r="AA86" s="2"/>
      <c r="AB86" s="2" t="s">
        <v>20</v>
      </c>
      <c r="AC86" s="2" t="s">
        <v>20</v>
      </c>
      <c r="AF86" s="2"/>
      <c r="AG86" s="2"/>
      <c r="AH86" s="2"/>
      <c r="AI86" s="26">
        <f t="shared" si="6"/>
        <v>0</v>
      </c>
      <c r="AJ86" s="2"/>
      <c r="AK86" s="2"/>
    </row>
    <row r="87" spans="2:37" x14ac:dyDescent="0.25">
      <c r="C87" t="s">
        <v>75</v>
      </c>
      <c r="D87" s="2"/>
      <c r="E87" s="2"/>
      <c r="F87" s="2"/>
      <c r="G87" s="2" t="s">
        <v>20</v>
      </c>
      <c r="H87" s="2" t="s">
        <v>20</v>
      </c>
      <c r="K87" s="14"/>
      <c r="L87" s="14"/>
      <c r="M87" s="14"/>
      <c r="N87" s="2" t="s">
        <v>20</v>
      </c>
      <c r="O87" s="2" t="s">
        <v>20</v>
      </c>
      <c r="R87" s="14"/>
      <c r="S87" s="14"/>
      <c r="T87" s="14"/>
      <c r="U87" s="2" t="s">
        <v>20</v>
      </c>
      <c r="V87" s="2" t="s">
        <v>20</v>
      </c>
      <c r="Y87" s="2"/>
      <c r="Z87" s="2"/>
      <c r="AA87" s="2"/>
      <c r="AB87" s="2" t="s">
        <v>20</v>
      </c>
      <c r="AC87" s="2" t="s">
        <v>20</v>
      </c>
      <c r="AF87" s="2"/>
      <c r="AG87" s="2"/>
      <c r="AH87" s="2"/>
      <c r="AI87" s="26">
        <f t="shared" si="6"/>
        <v>0</v>
      </c>
      <c r="AJ87" s="2"/>
      <c r="AK87" s="2"/>
    </row>
    <row r="88" spans="2:37" x14ac:dyDescent="0.25">
      <c r="C88" t="s">
        <v>9</v>
      </c>
      <c r="D88" s="2"/>
      <c r="E88" s="2"/>
      <c r="F88" s="2"/>
      <c r="G88" s="2" t="s">
        <v>20</v>
      </c>
      <c r="H88" s="2" t="s">
        <v>20</v>
      </c>
      <c r="K88" s="14"/>
      <c r="L88" s="14"/>
      <c r="M88" s="14"/>
      <c r="N88" s="2" t="s">
        <v>20</v>
      </c>
      <c r="O88" s="2" t="s">
        <v>20</v>
      </c>
      <c r="R88" s="14"/>
      <c r="S88" s="14"/>
      <c r="T88" s="14"/>
      <c r="U88" s="2" t="s">
        <v>20</v>
      </c>
      <c r="V88" s="2" t="s">
        <v>20</v>
      </c>
      <c r="Y88" s="2"/>
      <c r="Z88" s="2"/>
      <c r="AA88" s="2"/>
      <c r="AB88" s="2" t="s">
        <v>20</v>
      </c>
      <c r="AC88" s="2" t="s">
        <v>20</v>
      </c>
      <c r="AF88" s="2"/>
      <c r="AG88" s="2"/>
      <c r="AH88" s="2"/>
      <c r="AI88" s="26">
        <f t="shared" si="6"/>
        <v>0</v>
      </c>
      <c r="AJ88" s="2"/>
      <c r="AK88" s="2"/>
    </row>
    <row r="89" spans="2:37" s="1" customFormat="1" x14ac:dyDescent="0.25"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16">
        <f>SUM(AI78:AI88)</f>
        <v>0</v>
      </c>
      <c r="AJ89" s="3"/>
      <c r="AK89" s="3">
        <f>SUM(AI89,AJ78:AK78)</f>
        <v>0</v>
      </c>
    </row>
    <row r="90" spans="2:37" x14ac:dyDescent="0.25">
      <c r="B90" s="6" t="s">
        <v>5</v>
      </c>
      <c r="C90" t="s">
        <v>16</v>
      </c>
      <c r="D90" s="2" t="s">
        <v>20</v>
      </c>
      <c r="E90" s="2" t="s">
        <v>20</v>
      </c>
      <c r="F90" s="2"/>
      <c r="K90" s="2" t="s">
        <v>20</v>
      </c>
      <c r="L90" s="2" t="s">
        <v>20</v>
      </c>
      <c r="M90" s="2"/>
      <c r="R90" s="2" t="s">
        <v>20</v>
      </c>
      <c r="S90" s="2" t="s">
        <v>20</v>
      </c>
      <c r="T90" s="14"/>
      <c r="Y90" s="2" t="s">
        <v>20</v>
      </c>
      <c r="Z90" s="2" t="s">
        <v>20</v>
      </c>
      <c r="AA90" s="2"/>
      <c r="AF90" s="2" t="s">
        <v>20</v>
      </c>
      <c r="AG90" s="2" t="s">
        <v>20</v>
      </c>
      <c r="AH90" s="2"/>
      <c r="AI90" s="26">
        <f>SUM(F90:J90,M90:Q90,T90:X90,AA90:AE90,AH90)</f>
        <v>0</v>
      </c>
      <c r="AJ90" s="2"/>
      <c r="AK90" s="2"/>
    </row>
    <row r="91" spans="2:37" x14ac:dyDescent="0.25">
      <c r="C91" t="s">
        <v>10</v>
      </c>
      <c r="D91" s="2" t="s">
        <v>20</v>
      </c>
      <c r="E91" s="2" t="s">
        <v>20</v>
      </c>
      <c r="F91" s="2"/>
      <c r="K91" s="2" t="s">
        <v>20</v>
      </c>
      <c r="L91" s="2" t="s">
        <v>20</v>
      </c>
      <c r="M91" s="2"/>
      <c r="R91" s="2" t="s">
        <v>20</v>
      </c>
      <c r="S91" s="2" t="s">
        <v>20</v>
      </c>
      <c r="T91" s="2"/>
      <c r="Y91" s="2" t="s">
        <v>20</v>
      </c>
      <c r="Z91" s="2" t="s">
        <v>20</v>
      </c>
      <c r="AA91" s="2"/>
      <c r="AF91" s="2" t="s">
        <v>20</v>
      </c>
      <c r="AG91" s="2" t="s">
        <v>20</v>
      </c>
      <c r="AH91" s="2"/>
      <c r="AI91" s="26">
        <f t="shared" ref="AI91:AI100" si="7">SUM(F91:J91,M91:Q91,T91:X91,AA91:AE91,AH91)</f>
        <v>0</v>
      </c>
      <c r="AJ91" s="2"/>
      <c r="AK91" s="2"/>
    </row>
    <row r="92" spans="2:37" x14ac:dyDescent="0.25">
      <c r="B92" t="s">
        <v>28</v>
      </c>
      <c r="C92" t="s">
        <v>8</v>
      </c>
      <c r="D92" s="2" t="s">
        <v>20</v>
      </c>
      <c r="E92" s="2" t="s">
        <v>20</v>
      </c>
      <c r="F92" s="2"/>
      <c r="K92" s="2" t="s">
        <v>20</v>
      </c>
      <c r="L92" s="2" t="s">
        <v>20</v>
      </c>
      <c r="M92" s="2"/>
      <c r="R92" s="2" t="s">
        <v>20</v>
      </c>
      <c r="S92" s="2" t="s">
        <v>20</v>
      </c>
      <c r="T92" s="2"/>
      <c r="Y92" s="2" t="s">
        <v>20</v>
      </c>
      <c r="Z92" s="2" t="s">
        <v>20</v>
      </c>
      <c r="AA92" s="2"/>
      <c r="AF92" s="2" t="s">
        <v>20</v>
      </c>
      <c r="AG92" s="2" t="s">
        <v>20</v>
      </c>
      <c r="AH92" s="2"/>
      <c r="AI92" s="26">
        <f t="shared" si="7"/>
        <v>0</v>
      </c>
      <c r="AJ92" s="2"/>
      <c r="AK92" s="2"/>
    </row>
    <row r="93" spans="2:37" x14ac:dyDescent="0.25">
      <c r="B93" s="8">
        <v>168</v>
      </c>
      <c r="C93" t="s">
        <v>13</v>
      </c>
      <c r="D93" s="2" t="s">
        <v>20</v>
      </c>
      <c r="E93" s="2" t="s">
        <v>20</v>
      </c>
      <c r="F93" s="2"/>
      <c r="K93" s="2" t="s">
        <v>20</v>
      </c>
      <c r="L93" s="2" t="s">
        <v>20</v>
      </c>
      <c r="M93" s="2"/>
      <c r="R93" s="2" t="s">
        <v>20</v>
      </c>
      <c r="S93" s="2" t="s">
        <v>20</v>
      </c>
      <c r="T93" s="2"/>
      <c r="Y93" s="2" t="s">
        <v>20</v>
      </c>
      <c r="Z93" s="2" t="s">
        <v>20</v>
      </c>
      <c r="AA93" s="2"/>
      <c r="AF93" s="2" t="s">
        <v>20</v>
      </c>
      <c r="AG93" s="2" t="s">
        <v>20</v>
      </c>
      <c r="AH93" s="2"/>
      <c r="AI93" s="26">
        <f t="shared" si="7"/>
        <v>0</v>
      </c>
      <c r="AJ93" s="2"/>
      <c r="AK93" s="2"/>
    </row>
    <row r="94" spans="2:37" x14ac:dyDescent="0.25">
      <c r="C94" t="s">
        <v>11</v>
      </c>
      <c r="D94" s="2" t="s">
        <v>20</v>
      </c>
      <c r="E94" s="2" t="s">
        <v>20</v>
      </c>
      <c r="F94" s="2"/>
      <c r="K94" s="2" t="s">
        <v>20</v>
      </c>
      <c r="L94" s="2" t="s">
        <v>20</v>
      </c>
      <c r="M94" s="2"/>
      <c r="R94" s="2" t="s">
        <v>20</v>
      </c>
      <c r="S94" s="2" t="s">
        <v>20</v>
      </c>
      <c r="T94" s="2"/>
      <c r="Y94" s="2" t="s">
        <v>20</v>
      </c>
      <c r="Z94" s="2" t="s">
        <v>20</v>
      </c>
      <c r="AA94" s="2"/>
      <c r="AF94" s="2" t="s">
        <v>20</v>
      </c>
      <c r="AG94" s="2" t="s">
        <v>20</v>
      </c>
      <c r="AH94" s="2"/>
      <c r="AI94" s="26">
        <f t="shared" si="7"/>
        <v>0</v>
      </c>
      <c r="AJ94" s="2"/>
      <c r="AK94" s="2"/>
    </row>
    <row r="95" spans="2:37" x14ac:dyDescent="0.25">
      <c r="C95" t="s">
        <v>35</v>
      </c>
      <c r="D95" s="2" t="s">
        <v>20</v>
      </c>
      <c r="E95" s="2" t="s">
        <v>20</v>
      </c>
      <c r="F95" s="2"/>
      <c r="K95" s="2" t="s">
        <v>20</v>
      </c>
      <c r="L95" s="2" t="s">
        <v>20</v>
      </c>
      <c r="M95" s="2"/>
      <c r="R95" s="2" t="s">
        <v>20</v>
      </c>
      <c r="S95" s="2" t="s">
        <v>20</v>
      </c>
      <c r="T95" s="2"/>
      <c r="Y95" s="2" t="s">
        <v>20</v>
      </c>
      <c r="Z95" s="2" t="s">
        <v>20</v>
      </c>
      <c r="AA95" s="2"/>
      <c r="AF95" s="2" t="s">
        <v>20</v>
      </c>
      <c r="AG95" s="2" t="s">
        <v>20</v>
      </c>
      <c r="AH95" s="2"/>
      <c r="AI95" s="26">
        <f t="shared" si="7"/>
        <v>0</v>
      </c>
      <c r="AJ95" s="2"/>
      <c r="AK95" s="2"/>
    </row>
    <row r="96" spans="2:37" x14ac:dyDescent="0.25">
      <c r="C96" t="s">
        <v>7</v>
      </c>
      <c r="D96" s="2" t="s">
        <v>20</v>
      </c>
      <c r="E96" s="2" t="s">
        <v>20</v>
      </c>
      <c r="F96" s="2"/>
      <c r="K96" s="2" t="s">
        <v>20</v>
      </c>
      <c r="L96" s="2" t="s">
        <v>20</v>
      </c>
      <c r="M96" s="2"/>
      <c r="R96" s="2" t="s">
        <v>20</v>
      </c>
      <c r="S96" s="2" t="s">
        <v>20</v>
      </c>
      <c r="T96" s="2"/>
      <c r="Y96" s="2" t="s">
        <v>20</v>
      </c>
      <c r="Z96" s="2" t="s">
        <v>20</v>
      </c>
      <c r="AA96" s="2"/>
      <c r="AF96" s="2" t="s">
        <v>20</v>
      </c>
      <c r="AG96" s="2" t="s">
        <v>20</v>
      </c>
      <c r="AH96" s="2"/>
      <c r="AI96" s="26">
        <f t="shared" si="7"/>
        <v>0</v>
      </c>
      <c r="AJ96" s="2"/>
      <c r="AK96" s="2"/>
    </row>
    <row r="97" spans="2:37" x14ac:dyDescent="0.25">
      <c r="C97" t="s">
        <v>12</v>
      </c>
      <c r="D97" s="2" t="s">
        <v>20</v>
      </c>
      <c r="E97" s="2" t="s">
        <v>20</v>
      </c>
      <c r="F97" s="2"/>
      <c r="K97" s="2" t="s">
        <v>20</v>
      </c>
      <c r="L97" s="2" t="s">
        <v>20</v>
      </c>
      <c r="M97" s="14"/>
      <c r="R97" s="2" t="s">
        <v>20</v>
      </c>
      <c r="S97" s="2" t="s">
        <v>20</v>
      </c>
      <c r="T97" s="14"/>
      <c r="Y97" s="2" t="s">
        <v>20</v>
      </c>
      <c r="Z97" s="2" t="s">
        <v>20</v>
      </c>
      <c r="AA97" s="2"/>
      <c r="AF97" s="2" t="s">
        <v>20</v>
      </c>
      <c r="AG97" s="2" t="s">
        <v>20</v>
      </c>
      <c r="AH97" s="2"/>
      <c r="AI97" s="26">
        <f t="shared" si="7"/>
        <v>0</v>
      </c>
      <c r="AJ97" s="2"/>
      <c r="AK97" s="2"/>
    </row>
    <row r="98" spans="2:37" x14ac:dyDescent="0.25">
      <c r="C98" t="s">
        <v>80</v>
      </c>
      <c r="D98" s="2" t="s">
        <v>20</v>
      </c>
      <c r="E98" s="2" t="s">
        <v>20</v>
      </c>
      <c r="F98" s="2"/>
      <c r="K98" s="2" t="s">
        <v>20</v>
      </c>
      <c r="L98" s="2" t="s">
        <v>20</v>
      </c>
      <c r="M98" s="14"/>
      <c r="R98" s="2" t="s">
        <v>20</v>
      </c>
      <c r="S98" s="2" t="s">
        <v>20</v>
      </c>
      <c r="T98" s="14"/>
      <c r="Y98" s="2" t="s">
        <v>20</v>
      </c>
      <c r="Z98" s="2" t="s">
        <v>20</v>
      </c>
      <c r="AA98" s="2"/>
      <c r="AF98" s="2" t="s">
        <v>20</v>
      </c>
      <c r="AG98" s="2" t="s">
        <v>20</v>
      </c>
      <c r="AH98" s="2"/>
      <c r="AI98" s="26">
        <f t="shared" si="7"/>
        <v>0</v>
      </c>
      <c r="AJ98" s="2"/>
      <c r="AK98" s="2"/>
    </row>
    <row r="99" spans="2:37" x14ac:dyDescent="0.25">
      <c r="C99" t="s">
        <v>75</v>
      </c>
      <c r="D99" s="2" t="s">
        <v>20</v>
      </c>
      <c r="E99" s="2" t="s">
        <v>20</v>
      </c>
      <c r="F99" s="2"/>
      <c r="K99" s="2" t="s">
        <v>20</v>
      </c>
      <c r="L99" s="2" t="s">
        <v>20</v>
      </c>
      <c r="M99" s="14"/>
      <c r="R99" s="2" t="s">
        <v>20</v>
      </c>
      <c r="S99" s="2" t="s">
        <v>20</v>
      </c>
      <c r="T99" s="14"/>
      <c r="Y99" s="2" t="s">
        <v>20</v>
      </c>
      <c r="Z99" s="2" t="s">
        <v>20</v>
      </c>
      <c r="AA99" s="2"/>
      <c r="AF99" s="2" t="s">
        <v>20</v>
      </c>
      <c r="AG99" s="2" t="s">
        <v>20</v>
      </c>
      <c r="AH99" s="2"/>
      <c r="AI99" s="26">
        <f t="shared" si="7"/>
        <v>0</v>
      </c>
      <c r="AJ99" s="2"/>
      <c r="AK99" s="2"/>
    </row>
    <row r="100" spans="2:37" x14ac:dyDescent="0.25">
      <c r="C100" t="s">
        <v>9</v>
      </c>
      <c r="D100" s="2" t="s">
        <v>20</v>
      </c>
      <c r="E100" s="2" t="s">
        <v>20</v>
      </c>
      <c r="F100" s="2"/>
      <c r="K100" s="2" t="s">
        <v>20</v>
      </c>
      <c r="L100" s="2" t="s">
        <v>20</v>
      </c>
      <c r="M100" s="14"/>
      <c r="R100" s="2" t="s">
        <v>20</v>
      </c>
      <c r="S100" s="2" t="s">
        <v>20</v>
      </c>
      <c r="T100" s="14"/>
      <c r="Y100" s="2" t="s">
        <v>20</v>
      </c>
      <c r="Z100" s="2" t="s">
        <v>20</v>
      </c>
      <c r="AA100" s="2"/>
      <c r="AF100" s="2" t="s">
        <v>20</v>
      </c>
      <c r="AG100" s="2" t="s">
        <v>20</v>
      </c>
      <c r="AH100" s="2"/>
      <c r="AI100" s="26">
        <f t="shared" si="7"/>
        <v>0</v>
      </c>
      <c r="AJ100" s="2"/>
      <c r="AK100" s="2"/>
    </row>
    <row r="101" spans="2:37" s="1" customFormat="1" x14ac:dyDescent="0.25"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16">
        <f>SUM(AI90:AI100)</f>
        <v>0</v>
      </c>
      <c r="AJ101" s="3"/>
      <c r="AK101" s="3">
        <f>SUM(AI101,AJ90:AK90)</f>
        <v>0</v>
      </c>
    </row>
    <row r="102" spans="2:37" x14ac:dyDescent="0.25">
      <c r="B102" s="6" t="s">
        <v>54</v>
      </c>
      <c r="C102" t="s">
        <v>16</v>
      </c>
      <c r="F102" s="2"/>
      <c r="H102" s="2" t="s">
        <v>20</v>
      </c>
      <c r="I102" s="2" t="s">
        <v>20</v>
      </c>
      <c r="M102" s="2"/>
      <c r="O102" s="2" t="s">
        <v>20</v>
      </c>
      <c r="P102" s="2" t="s">
        <v>20</v>
      </c>
      <c r="T102" s="14"/>
      <c r="V102" s="2" t="s">
        <v>20</v>
      </c>
      <c r="W102" s="2" t="s">
        <v>20</v>
      </c>
      <c r="AA102" s="2"/>
      <c r="AC102" s="2" t="s">
        <v>20</v>
      </c>
      <c r="AD102" s="2" t="s">
        <v>20</v>
      </c>
      <c r="AF102" s="2"/>
      <c r="AG102" s="2"/>
      <c r="AH102" s="13"/>
      <c r="AI102" s="26">
        <f>SUM(D102:G102,J102:N102,Q102:U102,X102:AB102,AE102:AG102)</f>
        <v>0</v>
      </c>
      <c r="AJ102" s="2"/>
      <c r="AK102" s="2"/>
    </row>
    <row r="103" spans="2:37" x14ac:dyDescent="0.25">
      <c r="C103" t="s">
        <v>10</v>
      </c>
      <c r="F103" s="2"/>
      <c r="H103" s="2" t="s">
        <v>20</v>
      </c>
      <c r="I103" s="2" t="s">
        <v>20</v>
      </c>
      <c r="M103" s="2"/>
      <c r="O103" s="2" t="s">
        <v>20</v>
      </c>
      <c r="P103" s="2" t="s">
        <v>20</v>
      </c>
      <c r="T103" s="2"/>
      <c r="V103" s="2" t="s">
        <v>20</v>
      </c>
      <c r="W103" s="2" t="s">
        <v>20</v>
      </c>
      <c r="AA103" s="2"/>
      <c r="AC103" s="2" t="s">
        <v>20</v>
      </c>
      <c r="AD103" s="2" t="s">
        <v>20</v>
      </c>
      <c r="AF103" s="2"/>
      <c r="AG103" s="2"/>
      <c r="AH103" s="19"/>
      <c r="AI103" s="26">
        <f t="shared" ref="AI103:AI112" si="8">SUM(D103:G103,J103:N103,Q103:U103,X103:AB103,AE103:AG103)</f>
        <v>0</v>
      </c>
      <c r="AJ103" s="2"/>
      <c r="AK103" s="2"/>
    </row>
    <row r="104" spans="2:37" x14ac:dyDescent="0.25">
      <c r="B104" t="s">
        <v>28</v>
      </c>
      <c r="C104" t="s">
        <v>8</v>
      </c>
      <c r="F104" s="2"/>
      <c r="H104" s="2" t="s">
        <v>20</v>
      </c>
      <c r="I104" s="2" t="s">
        <v>20</v>
      </c>
      <c r="M104" s="2"/>
      <c r="O104" s="2" t="s">
        <v>20</v>
      </c>
      <c r="P104" s="2" t="s">
        <v>20</v>
      </c>
      <c r="T104" s="2"/>
      <c r="V104" s="2" t="s">
        <v>20</v>
      </c>
      <c r="W104" s="2" t="s">
        <v>20</v>
      </c>
      <c r="AA104" s="2"/>
      <c r="AC104" s="2" t="s">
        <v>20</v>
      </c>
      <c r="AD104" s="2" t="s">
        <v>20</v>
      </c>
      <c r="AF104" s="2"/>
      <c r="AG104" s="2"/>
      <c r="AH104" s="13"/>
      <c r="AI104" s="26">
        <f t="shared" si="8"/>
        <v>0</v>
      </c>
      <c r="AJ104" s="2"/>
      <c r="AK104" s="2"/>
    </row>
    <row r="105" spans="2:37" x14ac:dyDescent="0.25">
      <c r="B105" s="8">
        <v>168</v>
      </c>
      <c r="C105" t="s">
        <v>13</v>
      </c>
      <c r="F105" s="2"/>
      <c r="H105" s="2" t="s">
        <v>20</v>
      </c>
      <c r="I105" s="2" t="s">
        <v>20</v>
      </c>
      <c r="M105" s="2"/>
      <c r="O105" s="2" t="s">
        <v>20</v>
      </c>
      <c r="P105" s="2" t="s">
        <v>20</v>
      </c>
      <c r="T105" s="2"/>
      <c r="V105" s="2" t="s">
        <v>20</v>
      </c>
      <c r="W105" s="2" t="s">
        <v>20</v>
      </c>
      <c r="AA105" s="2"/>
      <c r="AC105" s="2" t="s">
        <v>20</v>
      </c>
      <c r="AD105" s="2" t="s">
        <v>20</v>
      </c>
      <c r="AF105" s="2"/>
      <c r="AG105" s="2"/>
      <c r="AH105" s="13"/>
      <c r="AI105" s="26">
        <f t="shared" si="8"/>
        <v>0</v>
      </c>
      <c r="AJ105" s="2"/>
      <c r="AK105" s="2"/>
    </row>
    <row r="106" spans="2:37" x14ac:dyDescent="0.25">
      <c r="C106" t="s">
        <v>11</v>
      </c>
      <c r="F106" s="2"/>
      <c r="H106" s="2" t="s">
        <v>20</v>
      </c>
      <c r="I106" s="2" t="s">
        <v>20</v>
      </c>
      <c r="M106" s="2"/>
      <c r="O106" s="2" t="s">
        <v>20</v>
      </c>
      <c r="P106" s="2" t="s">
        <v>20</v>
      </c>
      <c r="T106" s="2"/>
      <c r="V106" s="2" t="s">
        <v>20</v>
      </c>
      <c r="W106" s="2" t="s">
        <v>20</v>
      </c>
      <c r="AA106" s="2"/>
      <c r="AC106" s="2" t="s">
        <v>20</v>
      </c>
      <c r="AD106" s="2" t="s">
        <v>20</v>
      </c>
      <c r="AF106" s="2"/>
      <c r="AG106" s="2"/>
      <c r="AH106" s="13"/>
      <c r="AI106" s="26">
        <f t="shared" si="8"/>
        <v>0</v>
      </c>
      <c r="AJ106" s="2"/>
      <c r="AK106" s="2"/>
    </row>
    <row r="107" spans="2:37" x14ac:dyDescent="0.25">
      <c r="C107" t="s">
        <v>35</v>
      </c>
      <c r="F107" s="2"/>
      <c r="H107" s="2" t="s">
        <v>20</v>
      </c>
      <c r="I107" s="2" t="s">
        <v>20</v>
      </c>
      <c r="M107" s="2"/>
      <c r="O107" s="2" t="s">
        <v>20</v>
      </c>
      <c r="P107" s="2" t="s">
        <v>20</v>
      </c>
      <c r="T107" s="2"/>
      <c r="V107" s="2" t="s">
        <v>20</v>
      </c>
      <c r="W107" s="2" t="s">
        <v>20</v>
      </c>
      <c r="AA107" s="2"/>
      <c r="AC107" s="2" t="s">
        <v>20</v>
      </c>
      <c r="AD107" s="2" t="s">
        <v>20</v>
      </c>
      <c r="AF107" s="2"/>
      <c r="AG107" s="2"/>
      <c r="AH107" s="13"/>
      <c r="AI107" s="26">
        <f t="shared" si="8"/>
        <v>0</v>
      </c>
      <c r="AJ107" s="2"/>
      <c r="AK107" s="2"/>
    </row>
    <row r="108" spans="2:37" x14ac:dyDescent="0.25">
      <c r="C108" t="s">
        <v>7</v>
      </c>
      <c r="F108" s="2"/>
      <c r="H108" s="2" t="s">
        <v>20</v>
      </c>
      <c r="I108" s="2" t="s">
        <v>20</v>
      </c>
      <c r="M108" s="2"/>
      <c r="O108" s="2" t="s">
        <v>20</v>
      </c>
      <c r="P108" s="2" t="s">
        <v>20</v>
      </c>
      <c r="T108" s="2"/>
      <c r="V108" s="2" t="s">
        <v>20</v>
      </c>
      <c r="W108" s="2" t="s">
        <v>20</v>
      </c>
      <c r="AA108" s="2"/>
      <c r="AC108" s="2" t="s">
        <v>20</v>
      </c>
      <c r="AD108" s="2" t="s">
        <v>20</v>
      </c>
      <c r="AF108" s="2"/>
      <c r="AG108" s="2"/>
      <c r="AH108" s="13"/>
      <c r="AI108" s="26">
        <f t="shared" si="8"/>
        <v>0</v>
      </c>
      <c r="AJ108" s="2"/>
      <c r="AK108" s="2"/>
    </row>
    <row r="109" spans="2:37" x14ac:dyDescent="0.25">
      <c r="C109" t="s">
        <v>12</v>
      </c>
      <c r="F109" s="2"/>
      <c r="H109" s="2" t="s">
        <v>20</v>
      </c>
      <c r="I109" s="2" t="s">
        <v>20</v>
      </c>
      <c r="M109" s="14"/>
      <c r="O109" s="2" t="s">
        <v>20</v>
      </c>
      <c r="P109" s="2" t="s">
        <v>20</v>
      </c>
      <c r="T109" s="14"/>
      <c r="V109" s="2" t="s">
        <v>20</v>
      </c>
      <c r="W109" s="2" t="s">
        <v>20</v>
      </c>
      <c r="AA109" s="2"/>
      <c r="AC109" s="2" t="s">
        <v>20</v>
      </c>
      <c r="AD109" s="2" t="s">
        <v>20</v>
      </c>
      <c r="AF109" s="2"/>
      <c r="AG109" s="2"/>
      <c r="AH109" s="13"/>
      <c r="AI109" s="26">
        <f t="shared" si="8"/>
        <v>0</v>
      </c>
      <c r="AJ109" s="2"/>
      <c r="AK109" s="2"/>
    </row>
    <row r="110" spans="2:37" x14ac:dyDescent="0.25">
      <c r="C110" t="s">
        <v>80</v>
      </c>
      <c r="F110" s="2"/>
      <c r="H110" s="2" t="s">
        <v>20</v>
      </c>
      <c r="I110" s="2" t="s">
        <v>20</v>
      </c>
      <c r="M110" s="14"/>
      <c r="O110" s="2" t="s">
        <v>20</v>
      </c>
      <c r="P110" s="2" t="s">
        <v>20</v>
      </c>
      <c r="T110" s="14"/>
      <c r="V110" s="2" t="s">
        <v>20</v>
      </c>
      <c r="W110" s="2" t="s">
        <v>20</v>
      </c>
      <c r="AA110" s="2"/>
      <c r="AC110" s="2" t="s">
        <v>20</v>
      </c>
      <c r="AD110" s="2" t="s">
        <v>20</v>
      </c>
      <c r="AF110" s="2"/>
      <c r="AG110" s="2"/>
      <c r="AH110" s="13"/>
      <c r="AI110" s="26">
        <f t="shared" si="8"/>
        <v>0</v>
      </c>
      <c r="AJ110" s="2"/>
      <c r="AK110" s="2"/>
    </row>
    <row r="111" spans="2:37" x14ac:dyDescent="0.25">
      <c r="C111" t="s">
        <v>75</v>
      </c>
      <c r="F111" s="2"/>
      <c r="H111" s="2" t="s">
        <v>20</v>
      </c>
      <c r="I111" s="2" t="s">
        <v>20</v>
      </c>
      <c r="M111" s="14"/>
      <c r="O111" s="2" t="s">
        <v>20</v>
      </c>
      <c r="P111" s="2" t="s">
        <v>20</v>
      </c>
      <c r="T111" s="14"/>
      <c r="V111" s="2" t="s">
        <v>20</v>
      </c>
      <c r="W111" s="2" t="s">
        <v>20</v>
      </c>
      <c r="AA111" s="2"/>
      <c r="AC111" s="2" t="s">
        <v>20</v>
      </c>
      <c r="AD111" s="2" t="s">
        <v>20</v>
      </c>
      <c r="AF111" s="2"/>
      <c r="AG111" s="2"/>
      <c r="AH111" s="13"/>
      <c r="AI111" s="26">
        <f t="shared" si="8"/>
        <v>0</v>
      </c>
      <c r="AJ111" s="2"/>
      <c r="AK111" s="2"/>
    </row>
    <row r="112" spans="2:37" x14ac:dyDescent="0.25">
      <c r="C112" t="s">
        <v>9</v>
      </c>
      <c r="F112" s="2"/>
      <c r="H112" s="2" t="s">
        <v>20</v>
      </c>
      <c r="I112" s="2" t="s">
        <v>20</v>
      </c>
      <c r="M112" s="14"/>
      <c r="O112" s="2" t="s">
        <v>20</v>
      </c>
      <c r="P112" s="2" t="s">
        <v>20</v>
      </c>
      <c r="T112" s="14"/>
      <c r="V112" s="2" t="s">
        <v>20</v>
      </c>
      <c r="W112" s="2" t="s">
        <v>20</v>
      </c>
      <c r="AA112" s="2"/>
      <c r="AC112" s="2" t="s">
        <v>20</v>
      </c>
      <c r="AD112" s="2" t="s">
        <v>20</v>
      </c>
      <c r="AF112" s="2"/>
      <c r="AG112" s="2"/>
      <c r="AH112" s="13"/>
      <c r="AI112" s="26">
        <f t="shared" si="8"/>
        <v>0</v>
      </c>
      <c r="AJ112" s="2"/>
      <c r="AK112" s="2"/>
    </row>
    <row r="113" spans="2:37" s="1" customFormat="1" x14ac:dyDescent="0.25"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16">
        <f>SUM(AI102:AI112)</f>
        <v>0</v>
      </c>
      <c r="AJ113" s="3"/>
      <c r="AK113" s="3">
        <f>SUM(AI113,AJ102:AK102)</f>
        <v>0</v>
      </c>
    </row>
    <row r="114" spans="2:37" x14ac:dyDescent="0.25">
      <c r="B114" s="6" t="s">
        <v>15</v>
      </c>
      <c r="C114" t="s">
        <v>16</v>
      </c>
      <c r="F114" s="2" t="s">
        <v>20</v>
      </c>
      <c r="G114" s="2" t="s">
        <v>20</v>
      </c>
      <c r="M114" s="2" t="s">
        <v>20</v>
      </c>
      <c r="N114" s="2" t="s">
        <v>20</v>
      </c>
      <c r="T114" s="2" t="s">
        <v>20</v>
      </c>
      <c r="U114" s="2" t="s">
        <v>20</v>
      </c>
      <c r="AA114" s="2" t="s">
        <v>20</v>
      </c>
      <c r="AB114" s="2" t="s">
        <v>20</v>
      </c>
      <c r="AF114" s="2"/>
      <c r="AG114" s="2"/>
      <c r="AH114" s="2" t="s">
        <v>20</v>
      </c>
      <c r="AI114" s="26">
        <f>SUM(D114:E114,H114:L114,O114:S114,V114:Z114,AC114:AG114)</f>
        <v>0</v>
      </c>
      <c r="AJ114" s="2"/>
      <c r="AK114" s="2"/>
    </row>
    <row r="115" spans="2:37" x14ac:dyDescent="0.25">
      <c r="C115" t="s">
        <v>10</v>
      </c>
      <c r="F115" s="2" t="s">
        <v>20</v>
      </c>
      <c r="G115" s="2" t="s">
        <v>20</v>
      </c>
      <c r="M115" s="2" t="s">
        <v>20</v>
      </c>
      <c r="N115" s="2" t="s">
        <v>20</v>
      </c>
      <c r="T115" s="2" t="s">
        <v>20</v>
      </c>
      <c r="U115" s="2" t="s">
        <v>20</v>
      </c>
      <c r="AA115" s="2" t="s">
        <v>20</v>
      </c>
      <c r="AB115" s="2" t="s">
        <v>20</v>
      </c>
      <c r="AF115" s="2"/>
      <c r="AG115" s="2"/>
      <c r="AH115" s="2" t="s">
        <v>20</v>
      </c>
      <c r="AI115" s="26">
        <f t="shared" ref="AI115:AI124" si="9">SUM(D115:E115,H115:L115,O115:S115,V115:Z115,AC115:AG115)</f>
        <v>0</v>
      </c>
      <c r="AJ115" s="2"/>
      <c r="AK115" s="2"/>
    </row>
    <row r="116" spans="2:37" x14ac:dyDescent="0.25">
      <c r="B116" t="s">
        <v>28</v>
      </c>
      <c r="C116" t="s">
        <v>8</v>
      </c>
      <c r="F116" s="2" t="s">
        <v>20</v>
      </c>
      <c r="G116" s="2" t="s">
        <v>20</v>
      </c>
      <c r="M116" s="2" t="s">
        <v>20</v>
      </c>
      <c r="N116" s="2" t="s">
        <v>20</v>
      </c>
      <c r="T116" s="2" t="s">
        <v>20</v>
      </c>
      <c r="U116" s="2" t="s">
        <v>20</v>
      </c>
      <c r="AA116" s="2" t="s">
        <v>20</v>
      </c>
      <c r="AB116" s="2" t="s">
        <v>20</v>
      </c>
      <c r="AF116" s="2"/>
      <c r="AG116" s="2"/>
      <c r="AH116" s="2" t="s">
        <v>20</v>
      </c>
      <c r="AI116" s="26">
        <f t="shared" si="9"/>
        <v>0</v>
      </c>
      <c r="AJ116" s="2"/>
      <c r="AK116" s="2"/>
    </row>
    <row r="117" spans="2:37" x14ac:dyDescent="0.25">
      <c r="B117" s="8">
        <v>168</v>
      </c>
      <c r="C117" t="s">
        <v>13</v>
      </c>
      <c r="F117" s="2" t="s">
        <v>20</v>
      </c>
      <c r="G117" s="2" t="s">
        <v>20</v>
      </c>
      <c r="M117" s="2" t="s">
        <v>20</v>
      </c>
      <c r="N117" s="2" t="s">
        <v>20</v>
      </c>
      <c r="T117" s="2" t="s">
        <v>20</v>
      </c>
      <c r="U117" s="2" t="s">
        <v>20</v>
      </c>
      <c r="AA117" s="2" t="s">
        <v>20</v>
      </c>
      <c r="AB117" s="2" t="s">
        <v>20</v>
      </c>
      <c r="AF117" s="2"/>
      <c r="AG117" s="2"/>
      <c r="AH117" s="2" t="s">
        <v>20</v>
      </c>
      <c r="AI117" s="26">
        <f t="shared" si="9"/>
        <v>0</v>
      </c>
      <c r="AJ117" s="2"/>
      <c r="AK117" s="2"/>
    </row>
    <row r="118" spans="2:37" x14ac:dyDescent="0.25">
      <c r="C118" t="s">
        <v>11</v>
      </c>
      <c r="F118" s="2" t="s">
        <v>20</v>
      </c>
      <c r="G118" s="2" t="s">
        <v>20</v>
      </c>
      <c r="M118" s="2" t="s">
        <v>20</v>
      </c>
      <c r="N118" s="2" t="s">
        <v>20</v>
      </c>
      <c r="T118" s="2" t="s">
        <v>20</v>
      </c>
      <c r="U118" s="2" t="s">
        <v>20</v>
      </c>
      <c r="AA118" s="2" t="s">
        <v>20</v>
      </c>
      <c r="AB118" s="2" t="s">
        <v>20</v>
      </c>
      <c r="AF118" s="2"/>
      <c r="AG118" s="2"/>
      <c r="AH118" s="2" t="s">
        <v>20</v>
      </c>
      <c r="AI118" s="26">
        <f t="shared" si="9"/>
        <v>0</v>
      </c>
      <c r="AJ118" s="2"/>
      <c r="AK118" s="2"/>
    </row>
    <row r="119" spans="2:37" x14ac:dyDescent="0.25">
      <c r="C119" t="s">
        <v>35</v>
      </c>
      <c r="F119" s="2" t="s">
        <v>20</v>
      </c>
      <c r="G119" s="2" t="s">
        <v>20</v>
      </c>
      <c r="M119" s="2" t="s">
        <v>20</v>
      </c>
      <c r="N119" s="2" t="s">
        <v>20</v>
      </c>
      <c r="T119" s="2" t="s">
        <v>20</v>
      </c>
      <c r="U119" s="2" t="s">
        <v>20</v>
      </c>
      <c r="AA119" s="2" t="s">
        <v>20</v>
      </c>
      <c r="AB119" s="2" t="s">
        <v>20</v>
      </c>
      <c r="AF119" s="2"/>
      <c r="AG119" s="2"/>
      <c r="AH119" s="2" t="s">
        <v>20</v>
      </c>
      <c r="AI119" s="26">
        <f t="shared" si="9"/>
        <v>0</v>
      </c>
      <c r="AJ119" s="2"/>
      <c r="AK119" s="2"/>
    </row>
    <row r="120" spans="2:37" x14ac:dyDescent="0.25">
      <c r="C120" t="s">
        <v>7</v>
      </c>
      <c r="F120" s="2" t="s">
        <v>20</v>
      </c>
      <c r="G120" s="2" t="s">
        <v>20</v>
      </c>
      <c r="M120" s="2" t="s">
        <v>20</v>
      </c>
      <c r="N120" s="2" t="s">
        <v>20</v>
      </c>
      <c r="T120" s="2" t="s">
        <v>20</v>
      </c>
      <c r="U120" s="2" t="s">
        <v>20</v>
      </c>
      <c r="AA120" s="2" t="s">
        <v>20</v>
      </c>
      <c r="AB120" s="2" t="s">
        <v>20</v>
      </c>
      <c r="AF120" s="2"/>
      <c r="AG120" s="2"/>
      <c r="AH120" s="2" t="s">
        <v>20</v>
      </c>
      <c r="AI120" s="26">
        <f t="shared" si="9"/>
        <v>0</v>
      </c>
      <c r="AJ120" s="2"/>
      <c r="AK120" s="2"/>
    </row>
    <row r="121" spans="2:37" x14ac:dyDescent="0.25">
      <c r="C121" t="s">
        <v>12</v>
      </c>
      <c r="F121" s="2" t="s">
        <v>20</v>
      </c>
      <c r="G121" s="2" t="s">
        <v>20</v>
      </c>
      <c r="M121" s="2" t="s">
        <v>20</v>
      </c>
      <c r="N121" s="2" t="s">
        <v>20</v>
      </c>
      <c r="T121" s="2" t="s">
        <v>20</v>
      </c>
      <c r="U121" s="2" t="s">
        <v>20</v>
      </c>
      <c r="AA121" s="2" t="s">
        <v>20</v>
      </c>
      <c r="AB121" s="2" t="s">
        <v>20</v>
      </c>
      <c r="AF121" s="2"/>
      <c r="AG121" s="2"/>
      <c r="AH121" s="2" t="s">
        <v>20</v>
      </c>
      <c r="AI121" s="26">
        <f t="shared" si="9"/>
        <v>0</v>
      </c>
      <c r="AJ121" s="2"/>
      <c r="AK121" s="2"/>
    </row>
    <row r="122" spans="2:37" x14ac:dyDescent="0.25">
      <c r="C122" t="s">
        <v>80</v>
      </c>
      <c r="F122" s="2" t="s">
        <v>20</v>
      </c>
      <c r="G122" s="2" t="s">
        <v>20</v>
      </c>
      <c r="M122" s="2" t="s">
        <v>20</v>
      </c>
      <c r="N122" s="2" t="s">
        <v>20</v>
      </c>
      <c r="T122" s="2" t="s">
        <v>20</v>
      </c>
      <c r="U122" s="2" t="s">
        <v>20</v>
      </c>
      <c r="AA122" s="2" t="s">
        <v>20</v>
      </c>
      <c r="AB122" s="2" t="s">
        <v>20</v>
      </c>
      <c r="AF122" s="2"/>
      <c r="AG122" s="2"/>
      <c r="AH122" s="2" t="s">
        <v>20</v>
      </c>
      <c r="AI122" s="26">
        <f t="shared" si="9"/>
        <v>0</v>
      </c>
      <c r="AJ122" s="2"/>
      <c r="AK122" s="2"/>
    </row>
    <row r="123" spans="2:37" x14ac:dyDescent="0.25">
      <c r="C123" t="s">
        <v>75</v>
      </c>
      <c r="F123" s="2" t="s">
        <v>20</v>
      </c>
      <c r="G123" s="2" t="s">
        <v>20</v>
      </c>
      <c r="M123" s="2" t="s">
        <v>20</v>
      </c>
      <c r="N123" s="2" t="s">
        <v>20</v>
      </c>
      <c r="T123" s="2" t="s">
        <v>20</v>
      </c>
      <c r="U123" s="2" t="s">
        <v>20</v>
      </c>
      <c r="AA123" s="2" t="s">
        <v>20</v>
      </c>
      <c r="AB123" s="2" t="s">
        <v>20</v>
      </c>
      <c r="AF123" s="2"/>
      <c r="AG123" s="2"/>
      <c r="AH123" s="2" t="s">
        <v>20</v>
      </c>
      <c r="AI123" s="26">
        <f t="shared" si="9"/>
        <v>0</v>
      </c>
      <c r="AJ123" s="2"/>
      <c r="AK123" s="2"/>
    </row>
    <row r="124" spans="2:37" x14ac:dyDescent="0.25">
      <c r="C124" t="s">
        <v>9</v>
      </c>
      <c r="F124" s="2" t="s">
        <v>20</v>
      </c>
      <c r="G124" s="2" t="s">
        <v>20</v>
      </c>
      <c r="M124" s="2" t="s">
        <v>20</v>
      </c>
      <c r="N124" s="2" t="s">
        <v>20</v>
      </c>
      <c r="T124" s="2" t="s">
        <v>20</v>
      </c>
      <c r="U124" s="2" t="s">
        <v>20</v>
      </c>
      <c r="AA124" s="2" t="s">
        <v>20</v>
      </c>
      <c r="AB124" s="2" t="s">
        <v>20</v>
      </c>
      <c r="AF124" s="2"/>
      <c r="AG124" s="2"/>
      <c r="AH124" s="2" t="s">
        <v>20</v>
      </c>
      <c r="AI124" s="26">
        <f t="shared" si="9"/>
        <v>0</v>
      </c>
      <c r="AJ124" s="2"/>
      <c r="AK124" s="2"/>
    </row>
    <row r="125" spans="2:37" s="1" customFormat="1" x14ac:dyDescent="0.25"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16">
        <f>SUM(AI114:AI124)</f>
        <v>0</v>
      </c>
      <c r="AJ125" s="3"/>
      <c r="AK125" s="3">
        <f>SUM(AI125,AJ114:AK114)</f>
        <v>0</v>
      </c>
    </row>
    <row r="126" spans="2:37" x14ac:dyDescent="0.25">
      <c r="B126" s="6" t="s">
        <v>18</v>
      </c>
      <c r="C126" t="s">
        <v>16</v>
      </c>
      <c r="D126" s="2" t="s">
        <v>20</v>
      </c>
      <c r="G126" s="2"/>
      <c r="J126" s="2" t="s">
        <v>20</v>
      </c>
      <c r="K126" s="2" t="s">
        <v>20</v>
      </c>
      <c r="Q126" s="2" t="s">
        <v>20</v>
      </c>
      <c r="R126" s="2" t="s">
        <v>20</v>
      </c>
      <c r="X126" s="2" t="s">
        <v>20</v>
      </c>
      <c r="Y126" s="2" t="s">
        <v>20</v>
      </c>
      <c r="AE126" s="2" t="s">
        <v>20</v>
      </c>
      <c r="AF126" s="2" t="s">
        <v>20</v>
      </c>
      <c r="AG126" s="2"/>
      <c r="AH126" s="13"/>
      <c r="AI126" s="26">
        <f>SUM(E126:I126,L126:P126,S126:W126,Z126:AD126,AG126)</f>
        <v>0</v>
      </c>
      <c r="AJ126" s="2"/>
      <c r="AK126" s="2"/>
    </row>
    <row r="127" spans="2:37" x14ac:dyDescent="0.25">
      <c r="C127" t="s">
        <v>10</v>
      </c>
      <c r="D127" s="2" t="s">
        <v>20</v>
      </c>
      <c r="G127" s="2"/>
      <c r="J127" s="2" t="s">
        <v>20</v>
      </c>
      <c r="K127" s="2" t="s">
        <v>20</v>
      </c>
      <c r="Q127" s="2" t="s">
        <v>20</v>
      </c>
      <c r="R127" s="2" t="s">
        <v>20</v>
      </c>
      <c r="X127" s="2" t="s">
        <v>20</v>
      </c>
      <c r="Y127" s="2" t="s">
        <v>20</v>
      </c>
      <c r="AE127" s="2" t="s">
        <v>20</v>
      </c>
      <c r="AF127" s="2" t="s">
        <v>20</v>
      </c>
      <c r="AG127" s="2"/>
      <c r="AH127" s="19"/>
      <c r="AI127" s="26">
        <f t="shared" ref="AI127:AI136" si="10">SUM(E127:I127,L127:P127,S127:W127,Z127:AD127,AG127)</f>
        <v>0</v>
      </c>
      <c r="AJ127" s="2"/>
      <c r="AK127" s="2"/>
    </row>
    <row r="128" spans="2:37" x14ac:dyDescent="0.25">
      <c r="B128" t="s">
        <v>28</v>
      </c>
      <c r="C128" t="s">
        <v>8</v>
      </c>
      <c r="D128" s="2" t="s">
        <v>20</v>
      </c>
      <c r="G128" s="2"/>
      <c r="J128" s="2" t="s">
        <v>20</v>
      </c>
      <c r="K128" s="2" t="s">
        <v>20</v>
      </c>
      <c r="Q128" s="2" t="s">
        <v>20</v>
      </c>
      <c r="R128" s="2" t="s">
        <v>20</v>
      </c>
      <c r="X128" s="2" t="s">
        <v>20</v>
      </c>
      <c r="Y128" s="2" t="s">
        <v>20</v>
      </c>
      <c r="AE128" s="2" t="s">
        <v>20</v>
      </c>
      <c r="AF128" s="2" t="s">
        <v>20</v>
      </c>
      <c r="AG128" s="2"/>
      <c r="AH128" s="13"/>
      <c r="AI128" s="26">
        <f t="shared" si="10"/>
        <v>0</v>
      </c>
      <c r="AJ128" s="2"/>
      <c r="AK128" s="2"/>
    </row>
    <row r="129" spans="2:37" x14ac:dyDescent="0.25">
      <c r="B129" s="8">
        <v>168</v>
      </c>
      <c r="C129" t="s">
        <v>13</v>
      </c>
      <c r="D129" s="2" t="s">
        <v>20</v>
      </c>
      <c r="G129" s="2"/>
      <c r="J129" s="2" t="s">
        <v>20</v>
      </c>
      <c r="K129" s="2" t="s">
        <v>20</v>
      </c>
      <c r="Q129" s="2" t="s">
        <v>20</v>
      </c>
      <c r="R129" s="2" t="s">
        <v>20</v>
      </c>
      <c r="X129" s="2" t="s">
        <v>20</v>
      </c>
      <c r="Y129" s="2" t="s">
        <v>20</v>
      </c>
      <c r="AE129" s="2" t="s">
        <v>20</v>
      </c>
      <c r="AF129" s="2" t="s">
        <v>20</v>
      </c>
      <c r="AG129" s="2"/>
      <c r="AH129" s="13"/>
      <c r="AI129" s="26">
        <f t="shared" si="10"/>
        <v>0</v>
      </c>
      <c r="AJ129" s="2"/>
      <c r="AK129" s="2"/>
    </row>
    <row r="130" spans="2:37" x14ac:dyDescent="0.25">
      <c r="C130" t="s">
        <v>11</v>
      </c>
      <c r="D130" s="2" t="s">
        <v>20</v>
      </c>
      <c r="G130" s="2"/>
      <c r="J130" s="2" t="s">
        <v>20</v>
      </c>
      <c r="K130" s="2" t="s">
        <v>20</v>
      </c>
      <c r="Q130" s="2" t="s">
        <v>20</v>
      </c>
      <c r="R130" s="2" t="s">
        <v>20</v>
      </c>
      <c r="X130" s="2" t="s">
        <v>20</v>
      </c>
      <c r="Y130" s="2" t="s">
        <v>20</v>
      </c>
      <c r="AE130" s="2" t="s">
        <v>20</v>
      </c>
      <c r="AF130" s="2" t="s">
        <v>20</v>
      </c>
      <c r="AG130" s="2"/>
      <c r="AH130" s="13"/>
      <c r="AI130" s="26">
        <f t="shared" si="10"/>
        <v>0</v>
      </c>
      <c r="AJ130" s="2"/>
      <c r="AK130" s="2"/>
    </row>
    <row r="131" spans="2:37" x14ac:dyDescent="0.25">
      <c r="C131" t="s">
        <v>35</v>
      </c>
      <c r="D131" s="2" t="s">
        <v>20</v>
      </c>
      <c r="G131" s="2"/>
      <c r="J131" s="2" t="s">
        <v>20</v>
      </c>
      <c r="K131" s="2" t="s">
        <v>20</v>
      </c>
      <c r="Q131" s="2" t="s">
        <v>20</v>
      </c>
      <c r="R131" s="2" t="s">
        <v>20</v>
      </c>
      <c r="X131" s="2" t="s">
        <v>20</v>
      </c>
      <c r="Y131" s="2" t="s">
        <v>20</v>
      </c>
      <c r="AE131" s="2" t="s">
        <v>20</v>
      </c>
      <c r="AF131" s="2" t="s">
        <v>20</v>
      </c>
      <c r="AG131" s="2"/>
      <c r="AH131" s="13"/>
      <c r="AI131" s="26">
        <f t="shared" si="10"/>
        <v>0</v>
      </c>
      <c r="AJ131" s="2"/>
      <c r="AK131" s="2"/>
    </row>
    <row r="132" spans="2:37" x14ac:dyDescent="0.25">
      <c r="C132" t="s">
        <v>7</v>
      </c>
      <c r="D132" s="2" t="s">
        <v>20</v>
      </c>
      <c r="G132" s="2"/>
      <c r="J132" s="2" t="s">
        <v>20</v>
      </c>
      <c r="K132" s="2" t="s">
        <v>20</v>
      </c>
      <c r="Q132" s="2" t="s">
        <v>20</v>
      </c>
      <c r="R132" s="2" t="s">
        <v>20</v>
      </c>
      <c r="X132" s="2" t="s">
        <v>20</v>
      </c>
      <c r="Y132" s="2" t="s">
        <v>20</v>
      </c>
      <c r="AE132" s="2" t="s">
        <v>20</v>
      </c>
      <c r="AF132" s="2" t="s">
        <v>20</v>
      </c>
      <c r="AG132" s="2"/>
      <c r="AH132" s="13"/>
      <c r="AI132" s="26">
        <f t="shared" si="10"/>
        <v>0</v>
      </c>
      <c r="AJ132" s="2"/>
      <c r="AK132" s="2"/>
    </row>
    <row r="133" spans="2:37" x14ac:dyDescent="0.25">
      <c r="C133" t="s">
        <v>12</v>
      </c>
      <c r="D133" s="2" t="s">
        <v>20</v>
      </c>
      <c r="G133" s="2"/>
      <c r="J133" s="2" t="s">
        <v>20</v>
      </c>
      <c r="K133" s="2" t="s">
        <v>20</v>
      </c>
      <c r="Q133" s="2" t="s">
        <v>20</v>
      </c>
      <c r="R133" s="2" t="s">
        <v>20</v>
      </c>
      <c r="X133" s="2" t="s">
        <v>20</v>
      </c>
      <c r="Y133" s="2" t="s">
        <v>20</v>
      </c>
      <c r="AE133" s="2" t="s">
        <v>20</v>
      </c>
      <c r="AF133" s="2" t="s">
        <v>20</v>
      </c>
      <c r="AG133" s="2"/>
      <c r="AH133" s="13"/>
      <c r="AI133" s="26">
        <f t="shared" si="10"/>
        <v>0</v>
      </c>
      <c r="AJ133" s="2"/>
      <c r="AK133" s="2"/>
    </row>
    <row r="134" spans="2:37" x14ac:dyDescent="0.25">
      <c r="C134" t="s">
        <v>80</v>
      </c>
      <c r="D134" s="2" t="s">
        <v>20</v>
      </c>
      <c r="G134" s="2"/>
      <c r="J134" s="2" t="s">
        <v>20</v>
      </c>
      <c r="K134" s="2" t="s">
        <v>20</v>
      </c>
      <c r="Q134" s="2" t="s">
        <v>20</v>
      </c>
      <c r="R134" s="2" t="s">
        <v>20</v>
      </c>
      <c r="X134" s="2" t="s">
        <v>20</v>
      </c>
      <c r="Y134" s="2" t="s">
        <v>20</v>
      </c>
      <c r="AE134" s="2" t="s">
        <v>20</v>
      </c>
      <c r="AF134" s="2" t="s">
        <v>20</v>
      </c>
      <c r="AG134" s="2"/>
      <c r="AH134" s="13"/>
      <c r="AI134" s="26">
        <f t="shared" si="10"/>
        <v>0</v>
      </c>
      <c r="AJ134" s="2"/>
      <c r="AK134" s="2"/>
    </row>
    <row r="135" spans="2:37" x14ac:dyDescent="0.25">
      <c r="C135" t="s">
        <v>75</v>
      </c>
      <c r="D135" s="2" t="s">
        <v>20</v>
      </c>
      <c r="G135" s="2"/>
      <c r="J135" s="2" t="s">
        <v>20</v>
      </c>
      <c r="K135" s="2" t="s">
        <v>20</v>
      </c>
      <c r="Q135" s="2" t="s">
        <v>20</v>
      </c>
      <c r="R135" s="2" t="s">
        <v>20</v>
      </c>
      <c r="X135" s="2" t="s">
        <v>20</v>
      </c>
      <c r="Y135" s="2" t="s">
        <v>20</v>
      </c>
      <c r="AE135" s="2" t="s">
        <v>20</v>
      </c>
      <c r="AF135" s="2" t="s">
        <v>20</v>
      </c>
      <c r="AG135" s="2"/>
      <c r="AH135" s="13"/>
      <c r="AI135" s="26">
        <f t="shared" si="10"/>
        <v>0</v>
      </c>
      <c r="AJ135" s="2"/>
      <c r="AK135" s="2"/>
    </row>
    <row r="136" spans="2:37" x14ac:dyDescent="0.25">
      <c r="C136" t="s">
        <v>9</v>
      </c>
      <c r="D136" s="2" t="s">
        <v>20</v>
      </c>
      <c r="G136" s="2"/>
      <c r="J136" s="2" t="s">
        <v>20</v>
      </c>
      <c r="K136" s="2" t="s">
        <v>20</v>
      </c>
      <c r="Q136" s="2" t="s">
        <v>20</v>
      </c>
      <c r="R136" s="2" t="s">
        <v>20</v>
      </c>
      <c r="X136" s="2" t="s">
        <v>20</v>
      </c>
      <c r="Y136" s="2" t="s">
        <v>20</v>
      </c>
      <c r="AE136" s="2" t="s">
        <v>20</v>
      </c>
      <c r="AF136" s="2" t="s">
        <v>20</v>
      </c>
      <c r="AG136" s="2"/>
      <c r="AH136" s="13"/>
      <c r="AI136" s="26">
        <f t="shared" si="10"/>
        <v>0</v>
      </c>
      <c r="AJ136" s="2"/>
      <c r="AK136" s="2"/>
    </row>
    <row r="137" spans="2:37" s="1" customFormat="1" x14ac:dyDescent="0.25"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16">
        <f>SUM(AI126:AI136)</f>
        <v>0</v>
      </c>
      <c r="AJ137" s="3"/>
      <c r="AK137" s="3">
        <f>SUM(AI137,AJ126:AK126)</f>
        <v>0</v>
      </c>
    </row>
    <row r="138" spans="2:37" x14ac:dyDescent="0.25">
      <c r="B138" s="6" t="s">
        <v>19</v>
      </c>
      <c r="C138" t="s">
        <v>16</v>
      </c>
      <c r="D138" s="2"/>
      <c r="G138" s="2"/>
      <c r="H138" s="2" t="s">
        <v>20</v>
      </c>
      <c r="I138" s="2" t="s">
        <v>20</v>
      </c>
      <c r="O138" s="2" t="s">
        <v>20</v>
      </c>
      <c r="P138" s="2" t="s">
        <v>20</v>
      </c>
      <c r="V138" s="2" t="s">
        <v>20</v>
      </c>
      <c r="W138" s="2" t="s">
        <v>20</v>
      </c>
      <c r="X138" s="2" t="s">
        <v>33</v>
      </c>
      <c r="Y138" s="2" t="s">
        <v>33</v>
      </c>
      <c r="Z138" s="2" t="s">
        <v>33</v>
      </c>
      <c r="AA138" s="2" t="s">
        <v>33</v>
      </c>
      <c r="AB138" s="4" t="s">
        <v>25</v>
      </c>
      <c r="AC138" s="2" t="s">
        <v>20</v>
      </c>
      <c r="AD138" s="2" t="s">
        <v>20</v>
      </c>
      <c r="AE138" s="2" t="s">
        <v>33</v>
      </c>
      <c r="AF138" s="2" t="s">
        <v>33</v>
      </c>
      <c r="AG138" s="2" t="s">
        <v>33</v>
      </c>
      <c r="AH138" s="2" t="s">
        <v>33</v>
      </c>
      <c r="AI138" s="26">
        <f>SUM(D138:G138,J138:N138,Q138:U138)</f>
        <v>0</v>
      </c>
      <c r="AJ138" s="2">
        <v>64</v>
      </c>
      <c r="AK138" s="2">
        <v>8</v>
      </c>
    </row>
    <row r="139" spans="2:37" x14ac:dyDescent="0.25">
      <c r="C139" t="s">
        <v>10</v>
      </c>
      <c r="D139" s="2"/>
      <c r="G139" s="2"/>
      <c r="H139" s="2" t="s">
        <v>20</v>
      </c>
      <c r="I139" s="2" t="s">
        <v>20</v>
      </c>
      <c r="O139" s="2" t="s">
        <v>20</v>
      </c>
      <c r="P139" s="2" t="s">
        <v>20</v>
      </c>
      <c r="V139" s="2" t="s">
        <v>20</v>
      </c>
      <c r="W139" s="2" t="s">
        <v>20</v>
      </c>
      <c r="X139" s="2" t="s">
        <v>33</v>
      </c>
      <c r="Y139" s="2" t="s">
        <v>33</v>
      </c>
      <c r="Z139" s="2" t="s">
        <v>33</v>
      </c>
      <c r="AA139" s="2" t="s">
        <v>33</v>
      </c>
      <c r="AB139" s="4" t="s">
        <v>25</v>
      </c>
      <c r="AC139" s="2" t="s">
        <v>20</v>
      </c>
      <c r="AD139" s="2" t="s">
        <v>20</v>
      </c>
      <c r="AE139" s="2" t="s">
        <v>33</v>
      </c>
      <c r="AF139" s="2" t="s">
        <v>33</v>
      </c>
      <c r="AG139" s="2" t="s">
        <v>33</v>
      </c>
      <c r="AH139" s="2" t="s">
        <v>33</v>
      </c>
      <c r="AI139" s="26">
        <f t="shared" ref="AI139:AI148" si="11">SUM(D139:G139,J139:N139,Q139:U139)</f>
        <v>0</v>
      </c>
      <c r="AJ139" s="2"/>
      <c r="AK139" s="2"/>
    </row>
    <row r="140" spans="2:37" x14ac:dyDescent="0.25">
      <c r="B140" t="s">
        <v>81</v>
      </c>
      <c r="C140" t="s">
        <v>8</v>
      </c>
      <c r="D140" s="2"/>
      <c r="G140" s="2"/>
      <c r="H140" s="2" t="s">
        <v>20</v>
      </c>
      <c r="I140" s="2" t="s">
        <v>20</v>
      </c>
      <c r="O140" s="2" t="s">
        <v>20</v>
      </c>
      <c r="P140" s="2" t="s">
        <v>20</v>
      </c>
      <c r="V140" s="2" t="s">
        <v>20</v>
      </c>
      <c r="W140" s="2" t="s">
        <v>20</v>
      </c>
      <c r="X140" s="2" t="s">
        <v>33</v>
      </c>
      <c r="Y140" s="2" t="s">
        <v>33</v>
      </c>
      <c r="Z140" s="2" t="s">
        <v>33</v>
      </c>
      <c r="AA140" s="2" t="s">
        <v>33</v>
      </c>
      <c r="AB140" s="4" t="s">
        <v>25</v>
      </c>
      <c r="AC140" s="2" t="s">
        <v>20</v>
      </c>
      <c r="AD140" s="2" t="s">
        <v>20</v>
      </c>
      <c r="AE140" s="2" t="s">
        <v>33</v>
      </c>
      <c r="AF140" s="2" t="s">
        <v>33</v>
      </c>
      <c r="AG140" s="2" t="s">
        <v>33</v>
      </c>
      <c r="AH140" s="2" t="s">
        <v>33</v>
      </c>
      <c r="AI140" s="26">
        <f t="shared" si="11"/>
        <v>0</v>
      </c>
      <c r="AJ140" s="2"/>
      <c r="AK140" s="2"/>
    </row>
    <row r="141" spans="2:37" x14ac:dyDescent="0.25">
      <c r="B141" s="8">
        <v>112</v>
      </c>
      <c r="C141" t="s">
        <v>13</v>
      </c>
      <c r="D141" s="2"/>
      <c r="G141" s="2"/>
      <c r="H141" s="2" t="s">
        <v>20</v>
      </c>
      <c r="I141" s="2" t="s">
        <v>20</v>
      </c>
      <c r="O141" s="2" t="s">
        <v>20</v>
      </c>
      <c r="P141" s="2" t="s">
        <v>20</v>
      </c>
      <c r="V141" s="2" t="s">
        <v>20</v>
      </c>
      <c r="W141" s="2" t="s">
        <v>20</v>
      </c>
      <c r="X141" s="2" t="s">
        <v>33</v>
      </c>
      <c r="Y141" s="2" t="s">
        <v>33</v>
      </c>
      <c r="Z141" s="2" t="s">
        <v>33</v>
      </c>
      <c r="AA141" s="2" t="s">
        <v>33</v>
      </c>
      <c r="AB141" s="4" t="s">
        <v>25</v>
      </c>
      <c r="AC141" s="2" t="s">
        <v>20</v>
      </c>
      <c r="AD141" s="2" t="s">
        <v>20</v>
      </c>
      <c r="AE141" s="2" t="s">
        <v>33</v>
      </c>
      <c r="AF141" s="2" t="s">
        <v>33</v>
      </c>
      <c r="AG141" s="2" t="s">
        <v>33</v>
      </c>
      <c r="AH141" s="2" t="s">
        <v>33</v>
      </c>
      <c r="AI141" s="26">
        <f t="shared" si="11"/>
        <v>0</v>
      </c>
      <c r="AJ141" s="2"/>
      <c r="AK141" s="2"/>
    </row>
    <row r="142" spans="2:37" x14ac:dyDescent="0.25">
      <c r="C142" t="s">
        <v>11</v>
      </c>
      <c r="D142" s="2"/>
      <c r="G142" s="2"/>
      <c r="H142" s="2" t="s">
        <v>20</v>
      </c>
      <c r="I142" s="2" t="s">
        <v>20</v>
      </c>
      <c r="O142" s="2" t="s">
        <v>20</v>
      </c>
      <c r="P142" s="2" t="s">
        <v>20</v>
      </c>
      <c r="V142" s="2" t="s">
        <v>20</v>
      </c>
      <c r="W142" s="2" t="s">
        <v>20</v>
      </c>
      <c r="X142" s="2" t="s">
        <v>33</v>
      </c>
      <c r="Y142" s="2" t="s">
        <v>33</v>
      </c>
      <c r="Z142" s="2" t="s">
        <v>33</v>
      </c>
      <c r="AA142" s="2" t="s">
        <v>33</v>
      </c>
      <c r="AB142" s="4" t="s">
        <v>25</v>
      </c>
      <c r="AC142" s="2" t="s">
        <v>20</v>
      </c>
      <c r="AD142" s="2" t="s">
        <v>20</v>
      </c>
      <c r="AE142" s="2" t="s">
        <v>33</v>
      </c>
      <c r="AF142" s="2" t="s">
        <v>33</v>
      </c>
      <c r="AG142" s="2" t="s">
        <v>33</v>
      </c>
      <c r="AH142" s="2" t="s">
        <v>33</v>
      </c>
      <c r="AI142" s="26">
        <f t="shared" si="11"/>
        <v>0</v>
      </c>
      <c r="AJ142" s="2"/>
      <c r="AK142" s="2"/>
    </row>
    <row r="143" spans="2:37" x14ac:dyDescent="0.25">
      <c r="C143" t="s">
        <v>35</v>
      </c>
      <c r="D143" s="2"/>
      <c r="G143" s="2"/>
      <c r="H143" s="2" t="s">
        <v>20</v>
      </c>
      <c r="I143" s="2" t="s">
        <v>20</v>
      </c>
      <c r="O143" s="2" t="s">
        <v>20</v>
      </c>
      <c r="P143" s="2" t="s">
        <v>20</v>
      </c>
      <c r="V143" s="2" t="s">
        <v>20</v>
      </c>
      <c r="W143" s="2" t="s">
        <v>20</v>
      </c>
      <c r="X143" s="2" t="s">
        <v>33</v>
      </c>
      <c r="Y143" s="2" t="s">
        <v>33</v>
      </c>
      <c r="Z143" s="2" t="s">
        <v>33</v>
      </c>
      <c r="AA143" s="2" t="s">
        <v>33</v>
      </c>
      <c r="AB143" s="4" t="s">
        <v>25</v>
      </c>
      <c r="AC143" s="2" t="s">
        <v>20</v>
      </c>
      <c r="AD143" s="2" t="s">
        <v>20</v>
      </c>
      <c r="AE143" s="2" t="s">
        <v>33</v>
      </c>
      <c r="AF143" s="2" t="s">
        <v>33</v>
      </c>
      <c r="AG143" s="2" t="s">
        <v>33</v>
      </c>
      <c r="AH143" s="2" t="s">
        <v>33</v>
      </c>
      <c r="AI143" s="26">
        <f t="shared" si="11"/>
        <v>0</v>
      </c>
      <c r="AJ143" s="2"/>
      <c r="AK143" s="2"/>
    </row>
    <row r="144" spans="2:37" x14ac:dyDescent="0.25">
      <c r="C144" t="s">
        <v>7</v>
      </c>
      <c r="D144" s="2"/>
      <c r="G144" s="2"/>
      <c r="H144" s="2" t="s">
        <v>20</v>
      </c>
      <c r="I144" s="2" t="s">
        <v>20</v>
      </c>
      <c r="O144" s="2" t="s">
        <v>20</v>
      </c>
      <c r="P144" s="2" t="s">
        <v>20</v>
      </c>
      <c r="V144" s="2" t="s">
        <v>20</v>
      </c>
      <c r="W144" s="2" t="s">
        <v>20</v>
      </c>
      <c r="X144" s="2" t="s">
        <v>33</v>
      </c>
      <c r="Y144" s="2" t="s">
        <v>33</v>
      </c>
      <c r="Z144" s="2" t="s">
        <v>33</v>
      </c>
      <c r="AA144" s="2" t="s">
        <v>33</v>
      </c>
      <c r="AB144" s="4" t="s">
        <v>25</v>
      </c>
      <c r="AC144" s="2" t="s">
        <v>20</v>
      </c>
      <c r="AD144" s="2" t="s">
        <v>20</v>
      </c>
      <c r="AE144" s="2" t="s">
        <v>33</v>
      </c>
      <c r="AF144" s="2" t="s">
        <v>33</v>
      </c>
      <c r="AG144" s="2" t="s">
        <v>33</v>
      </c>
      <c r="AH144" s="2" t="s">
        <v>33</v>
      </c>
      <c r="AI144" s="26">
        <f t="shared" si="11"/>
        <v>0</v>
      </c>
      <c r="AJ144" s="2"/>
      <c r="AK144" s="2"/>
    </row>
    <row r="145" spans="3:37" x14ac:dyDescent="0.25">
      <c r="C145" t="s">
        <v>12</v>
      </c>
      <c r="D145" s="2"/>
      <c r="G145" s="2"/>
      <c r="H145" s="2" t="s">
        <v>20</v>
      </c>
      <c r="I145" s="2" t="s">
        <v>20</v>
      </c>
      <c r="O145" s="2" t="s">
        <v>20</v>
      </c>
      <c r="P145" s="2" t="s">
        <v>20</v>
      </c>
      <c r="V145" s="2" t="s">
        <v>20</v>
      </c>
      <c r="W145" s="2" t="s">
        <v>20</v>
      </c>
      <c r="X145" s="2" t="s">
        <v>33</v>
      </c>
      <c r="Y145" s="2" t="s">
        <v>33</v>
      </c>
      <c r="Z145" s="2" t="s">
        <v>33</v>
      </c>
      <c r="AA145" s="2" t="s">
        <v>33</v>
      </c>
      <c r="AB145" s="4" t="s">
        <v>25</v>
      </c>
      <c r="AC145" s="2" t="s">
        <v>20</v>
      </c>
      <c r="AD145" s="2" t="s">
        <v>20</v>
      </c>
      <c r="AE145" s="2" t="s">
        <v>33</v>
      </c>
      <c r="AF145" s="2" t="s">
        <v>33</v>
      </c>
      <c r="AG145" s="2" t="s">
        <v>33</v>
      </c>
      <c r="AH145" s="2" t="s">
        <v>33</v>
      </c>
      <c r="AI145" s="26">
        <f t="shared" si="11"/>
        <v>0</v>
      </c>
      <c r="AJ145" s="2"/>
      <c r="AK145" s="2"/>
    </row>
    <row r="146" spans="3:37" x14ac:dyDescent="0.25">
      <c r="C146" t="s">
        <v>80</v>
      </c>
      <c r="D146" s="2"/>
      <c r="G146" s="2"/>
      <c r="H146" s="2" t="s">
        <v>20</v>
      </c>
      <c r="I146" s="2" t="s">
        <v>20</v>
      </c>
      <c r="O146" s="2" t="s">
        <v>20</v>
      </c>
      <c r="P146" s="2" t="s">
        <v>20</v>
      </c>
      <c r="V146" s="2" t="s">
        <v>20</v>
      </c>
      <c r="W146" s="2" t="s">
        <v>20</v>
      </c>
      <c r="X146" s="2" t="s">
        <v>33</v>
      </c>
      <c r="Y146" s="2" t="s">
        <v>33</v>
      </c>
      <c r="Z146" s="2" t="s">
        <v>33</v>
      </c>
      <c r="AA146" s="2" t="s">
        <v>33</v>
      </c>
      <c r="AB146" s="4" t="s">
        <v>25</v>
      </c>
      <c r="AC146" s="2" t="s">
        <v>20</v>
      </c>
      <c r="AD146" s="2" t="s">
        <v>20</v>
      </c>
      <c r="AE146" s="2" t="s">
        <v>33</v>
      </c>
      <c r="AF146" s="2" t="s">
        <v>33</v>
      </c>
      <c r="AG146" s="2" t="s">
        <v>33</v>
      </c>
      <c r="AH146" s="2" t="s">
        <v>33</v>
      </c>
      <c r="AI146" s="26">
        <f t="shared" si="11"/>
        <v>0</v>
      </c>
      <c r="AJ146" s="2"/>
      <c r="AK146" s="2"/>
    </row>
    <row r="147" spans="3:37" x14ac:dyDescent="0.25">
      <c r="C147" t="s">
        <v>75</v>
      </c>
      <c r="D147" s="2"/>
      <c r="G147" s="2"/>
      <c r="H147" s="2" t="s">
        <v>20</v>
      </c>
      <c r="I147" s="2" t="s">
        <v>20</v>
      </c>
      <c r="O147" s="2" t="s">
        <v>20</v>
      </c>
      <c r="P147" s="2" t="s">
        <v>20</v>
      </c>
      <c r="V147" s="2" t="s">
        <v>20</v>
      </c>
      <c r="W147" s="2" t="s">
        <v>20</v>
      </c>
      <c r="X147" s="2" t="s">
        <v>33</v>
      </c>
      <c r="Y147" s="2" t="s">
        <v>33</v>
      </c>
      <c r="Z147" s="2" t="s">
        <v>33</v>
      </c>
      <c r="AA147" s="2" t="s">
        <v>33</v>
      </c>
      <c r="AB147" s="4" t="s">
        <v>25</v>
      </c>
      <c r="AC147" s="2" t="s">
        <v>20</v>
      </c>
      <c r="AD147" s="2" t="s">
        <v>20</v>
      </c>
      <c r="AE147" s="2" t="s">
        <v>33</v>
      </c>
      <c r="AF147" s="2" t="s">
        <v>33</v>
      </c>
      <c r="AG147" s="2" t="s">
        <v>33</v>
      </c>
      <c r="AH147" s="2" t="s">
        <v>33</v>
      </c>
      <c r="AI147" s="26">
        <f t="shared" si="11"/>
        <v>0</v>
      </c>
      <c r="AJ147" s="2"/>
      <c r="AK147" s="2"/>
    </row>
    <row r="148" spans="3:37" x14ac:dyDescent="0.25">
      <c r="C148" t="s">
        <v>9</v>
      </c>
      <c r="D148" s="2"/>
      <c r="G148" s="2"/>
      <c r="H148" s="2" t="s">
        <v>20</v>
      </c>
      <c r="I148" s="2" t="s">
        <v>20</v>
      </c>
      <c r="O148" s="2" t="s">
        <v>20</v>
      </c>
      <c r="P148" s="2" t="s">
        <v>20</v>
      </c>
      <c r="V148" s="2" t="s">
        <v>20</v>
      </c>
      <c r="W148" s="2" t="s">
        <v>20</v>
      </c>
      <c r="X148" s="2" t="s">
        <v>33</v>
      </c>
      <c r="Y148" s="2" t="s">
        <v>33</v>
      </c>
      <c r="Z148" s="2" t="s">
        <v>33</v>
      </c>
      <c r="AA148" s="2" t="s">
        <v>33</v>
      </c>
      <c r="AB148" s="4" t="s">
        <v>25</v>
      </c>
      <c r="AC148" s="2" t="s">
        <v>20</v>
      </c>
      <c r="AD148" s="2" t="s">
        <v>20</v>
      </c>
      <c r="AE148" s="2" t="s">
        <v>33</v>
      </c>
      <c r="AF148" s="2" t="s">
        <v>33</v>
      </c>
      <c r="AG148" s="2" t="s">
        <v>33</v>
      </c>
      <c r="AH148" s="2" t="s">
        <v>33</v>
      </c>
      <c r="AI148" s="26">
        <f t="shared" si="11"/>
        <v>0</v>
      </c>
      <c r="AJ148" s="2"/>
      <c r="AK148" s="2"/>
    </row>
    <row r="149" spans="3:37" s="1" customFormat="1" x14ac:dyDescent="0.25"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16">
        <f>SUM(AI138:AI148)</f>
        <v>0</v>
      </c>
      <c r="AJ149" s="3"/>
      <c r="AK149" s="3">
        <f>SUM(AI149,AJ138:AK138)</f>
        <v>72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F39EF-D0BF-4EAD-AE33-FFA6BCF60CA5}">
  <dimension ref="A1:AL66"/>
  <sheetViews>
    <sheetView topLeftCell="A17" zoomScale="150" zoomScaleNormal="150" workbookViewId="0">
      <selection activeCell="AC52" sqref="AC52"/>
    </sheetView>
  </sheetViews>
  <sheetFormatPr baseColWidth="10" defaultRowHeight="15" x14ac:dyDescent="0.2"/>
  <cols>
    <col min="1" max="1" width="14.83203125" customWidth="1"/>
    <col min="2" max="2" width="16" customWidth="1"/>
    <col min="3" max="3" width="18.1640625" customWidth="1"/>
    <col min="4" max="34" width="6.5" customWidth="1"/>
    <col min="35" max="35" width="14.1640625" style="10" customWidth="1"/>
    <col min="36" max="36" width="15.33203125" customWidth="1"/>
  </cols>
  <sheetData>
    <row r="1" spans="1:38" x14ac:dyDescent="0.2">
      <c r="A1" t="s">
        <v>3</v>
      </c>
      <c r="B1" s="8">
        <v>2025</v>
      </c>
      <c r="F1" t="s">
        <v>21</v>
      </c>
      <c r="AA1" s="5"/>
      <c r="AB1" s="12" t="s">
        <v>63</v>
      </c>
    </row>
    <row r="2" spans="1:38" x14ac:dyDescent="0.2">
      <c r="A2" t="s">
        <v>2</v>
      </c>
      <c r="B2" s="6" t="s">
        <v>17</v>
      </c>
      <c r="C2" s="7" t="s">
        <v>40</v>
      </c>
      <c r="F2" t="s">
        <v>22</v>
      </c>
      <c r="AA2" s="5"/>
      <c r="AB2" s="12" t="s">
        <v>64</v>
      </c>
    </row>
    <row r="3" spans="1:38" x14ac:dyDescent="0.2">
      <c r="F3" t="s">
        <v>23</v>
      </c>
    </row>
    <row r="4" spans="1:38" x14ac:dyDescent="0.2">
      <c r="F4" t="s">
        <v>24</v>
      </c>
    </row>
    <row r="5" spans="1:38" x14ac:dyDescent="0.2">
      <c r="F5" t="s">
        <v>26</v>
      </c>
    </row>
    <row r="7" spans="1:38" x14ac:dyDescent="0.2">
      <c r="D7" s="1" t="s">
        <v>4</v>
      </c>
    </row>
    <row r="8" spans="1:38" s="3" customFormat="1" x14ac:dyDescent="0.2">
      <c r="A8" s="3" t="s">
        <v>0</v>
      </c>
      <c r="B8" s="3" t="s">
        <v>0</v>
      </c>
      <c r="C8" s="3" t="s">
        <v>1</v>
      </c>
      <c r="D8" s="3">
        <v>1</v>
      </c>
      <c r="E8" s="3">
        <v>2</v>
      </c>
      <c r="F8" s="3">
        <v>3</v>
      </c>
      <c r="G8" s="3">
        <v>4</v>
      </c>
      <c r="H8" s="3">
        <v>5</v>
      </c>
      <c r="I8" s="3">
        <v>6</v>
      </c>
      <c r="J8" s="3">
        <v>7</v>
      </c>
      <c r="K8" s="3">
        <v>8</v>
      </c>
      <c r="L8" s="3">
        <v>9</v>
      </c>
      <c r="M8" s="3">
        <v>10</v>
      </c>
      <c r="N8" s="3">
        <v>11</v>
      </c>
      <c r="O8" s="3">
        <v>12</v>
      </c>
      <c r="P8" s="3">
        <v>13</v>
      </c>
      <c r="Q8" s="3">
        <v>14</v>
      </c>
      <c r="R8" s="3">
        <v>15</v>
      </c>
      <c r="S8" s="3">
        <v>16</v>
      </c>
      <c r="T8" s="3">
        <v>17</v>
      </c>
      <c r="U8" s="3">
        <v>18</v>
      </c>
      <c r="V8" s="3">
        <v>19</v>
      </c>
      <c r="W8" s="3">
        <v>20</v>
      </c>
      <c r="X8" s="3">
        <v>21</v>
      </c>
      <c r="Y8" s="3">
        <v>22</v>
      </c>
      <c r="Z8" s="3">
        <v>23</v>
      </c>
      <c r="AA8" s="3">
        <v>24</v>
      </c>
      <c r="AB8" s="3">
        <v>25</v>
      </c>
      <c r="AC8" s="3">
        <v>26</v>
      </c>
      <c r="AD8" s="3">
        <v>27</v>
      </c>
      <c r="AE8" s="3">
        <v>28</v>
      </c>
      <c r="AF8" s="3">
        <v>29</v>
      </c>
      <c r="AG8" s="3">
        <v>30</v>
      </c>
      <c r="AH8" s="3">
        <v>31</v>
      </c>
      <c r="AI8" s="11" t="s">
        <v>34</v>
      </c>
      <c r="AJ8" s="3" t="s">
        <v>36</v>
      </c>
      <c r="AK8" s="3" t="s">
        <v>37</v>
      </c>
      <c r="AL8" s="3" t="s">
        <v>65</v>
      </c>
    </row>
    <row r="9" spans="1:38" x14ac:dyDescent="0.2">
      <c r="B9" s="6" t="s">
        <v>41</v>
      </c>
      <c r="C9" t="s">
        <v>6</v>
      </c>
      <c r="D9" s="2"/>
      <c r="E9" s="2"/>
      <c r="F9" s="2"/>
      <c r="G9" s="2"/>
      <c r="H9" s="2" t="s">
        <v>20</v>
      </c>
      <c r="I9" s="2" t="s">
        <v>20</v>
      </c>
      <c r="J9" s="2"/>
      <c r="K9" s="2"/>
      <c r="L9" s="2"/>
      <c r="M9" s="2"/>
      <c r="N9" s="2"/>
      <c r="O9" s="2" t="s">
        <v>20</v>
      </c>
      <c r="P9" s="2" t="s">
        <v>20</v>
      </c>
      <c r="Q9" s="2"/>
      <c r="R9" s="2"/>
      <c r="S9" s="2"/>
      <c r="T9" s="2"/>
      <c r="U9" s="2"/>
      <c r="V9" s="2" t="s">
        <v>20</v>
      </c>
      <c r="W9" s="2" t="s">
        <v>20</v>
      </c>
      <c r="X9" s="2"/>
      <c r="Y9" s="2"/>
      <c r="Z9" s="2"/>
      <c r="AA9" s="2"/>
      <c r="AB9" s="2"/>
      <c r="AC9" s="2" t="s">
        <v>20</v>
      </c>
      <c r="AD9" s="2" t="s">
        <v>20</v>
      </c>
      <c r="AE9" s="2"/>
      <c r="AF9" s="2"/>
      <c r="AG9" s="2"/>
      <c r="AH9" s="2"/>
      <c r="AI9" s="10">
        <f>SUM(D9:G9,J9:N9,Q9:U9,X9:AB9,AE9:AH9)</f>
        <v>0</v>
      </c>
      <c r="AJ9">
        <v>0</v>
      </c>
      <c r="AK9">
        <v>0</v>
      </c>
    </row>
    <row r="10" spans="1:38" x14ac:dyDescent="0.2">
      <c r="C10" t="s">
        <v>10</v>
      </c>
      <c r="D10" s="2"/>
      <c r="E10" s="2"/>
      <c r="F10" s="2"/>
      <c r="G10" s="2"/>
      <c r="H10" s="2" t="s">
        <v>20</v>
      </c>
      <c r="I10" s="2" t="s">
        <v>20</v>
      </c>
      <c r="J10" s="2"/>
      <c r="K10" s="2"/>
      <c r="L10" s="2"/>
      <c r="M10" s="2"/>
      <c r="N10" s="2"/>
      <c r="O10" s="2" t="s">
        <v>20</v>
      </c>
      <c r="P10" s="2" t="s">
        <v>20</v>
      </c>
      <c r="Q10" s="2"/>
      <c r="R10" s="2"/>
      <c r="S10" s="2"/>
      <c r="T10" s="2"/>
      <c r="U10" s="2"/>
      <c r="V10" s="2" t="s">
        <v>20</v>
      </c>
      <c r="W10" s="2" t="s">
        <v>20</v>
      </c>
      <c r="X10" s="2"/>
      <c r="Y10" s="2"/>
      <c r="Z10" s="2"/>
      <c r="AA10" s="2"/>
      <c r="AB10" s="2"/>
      <c r="AC10" s="2" t="s">
        <v>20</v>
      </c>
      <c r="AD10" s="2" t="s">
        <v>20</v>
      </c>
      <c r="AE10" s="2"/>
      <c r="AF10" s="2"/>
      <c r="AG10" s="2"/>
      <c r="AH10" s="2"/>
      <c r="AI10" s="10">
        <f t="shared" ref="AI10:AI16" si="0">SUM(D10:G10,J10:N10,Q10:U10,X10:AB10,AE10:AH10)</f>
        <v>0</v>
      </c>
    </row>
    <row r="11" spans="1:38" x14ac:dyDescent="0.2">
      <c r="B11" t="s">
        <v>42</v>
      </c>
      <c r="C11" t="s">
        <v>8</v>
      </c>
      <c r="D11" s="2"/>
      <c r="E11" s="2"/>
      <c r="F11" s="2"/>
      <c r="G11" s="2"/>
      <c r="H11" s="2" t="s">
        <v>20</v>
      </c>
      <c r="I11" s="2" t="s">
        <v>20</v>
      </c>
      <c r="J11" s="2"/>
      <c r="K11" s="2"/>
      <c r="L11" s="2"/>
      <c r="M11" s="2"/>
      <c r="N11" s="2"/>
      <c r="O11" s="2" t="s">
        <v>20</v>
      </c>
      <c r="P11" s="2" t="s">
        <v>20</v>
      </c>
      <c r="Q11" s="2"/>
      <c r="R11" s="2"/>
      <c r="S11" s="2"/>
      <c r="T11" s="2"/>
      <c r="U11" s="2"/>
      <c r="V11" s="2" t="s">
        <v>20</v>
      </c>
      <c r="W11" s="2" t="s">
        <v>20</v>
      </c>
      <c r="X11" s="2"/>
      <c r="Y11" s="2"/>
      <c r="Z11" s="2"/>
      <c r="AA11" s="2"/>
      <c r="AB11" s="2"/>
      <c r="AC11" s="2" t="s">
        <v>20</v>
      </c>
      <c r="AD11" s="2" t="s">
        <v>20</v>
      </c>
      <c r="AE11" s="2"/>
      <c r="AF11" s="2"/>
      <c r="AG11" s="2"/>
      <c r="AH11" s="2"/>
      <c r="AI11" s="10">
        <f t="shared" si="0"/>
        <v>0</v>
      </c>
    </row>
    <row r="12" spans="1:38" x14ac:dyDescent="0.2">
      <c r="C12" t="s">
        <v>13</v>
      </c>
      <c r="D12" s="2"/>
      <c r="E12" s="2"/>
      <c r="F12" s="2"/>
      <c r="G12" s="2"/>
      <c r="H12" s="2" t="s">
        <v>20</v>
      </c>
      <c r="I12" s="2" t="s">
        <v>20</v>
      </c>
      <c r="J12" s="2"/>
      <c r="K12" s="2"/>
      <c r="L12" s="2"/>
      <c r="M12" s="2"/>
      <c r="N12" s="2"/>
      <c r="O12" s="2" t="s">
        <v>20</v>
      </c>
      <c r="P12" s="2" t="s">
        <v>20</v>
      </c>
      <c r="Q12" s="2"/>
      <c r="R12" s="2"/>
      <c r="S12" s="2"/>
      <c r="T12" s="2"/>
      <c r="U12" s="2"/>
      <c r="V12" s="2" t="s">
        <v>20</v>
      </c>
      <c r="W12" s="2" t="s">
        <v>20</v>
      </c>
      <c r="X12" s="2"/>
      <c r="Y12" s="2"/>
      <c r="Z12" s="2"/>
      <c r="AA12" s="2"/>
      <c r="AB12" s="2"/>
      <c r="AC12" s="2" t="s">
        <v>20</v>
      </c>
      <c r="AD12" s="2" t="s">
        <v>20</v>
      </c>
      <c r="AE12" s="2"/>
      <c r="AF12" s="2"/>
      <c r="AG12" s="2"/>
      <c r="AH12" s="2"/>
      <c r="AI12" s="10">
        <f t="shared" si="0"/>
        <v>0</v>
      </c>
    </row>
    <row r="13" spans="1:38" x14ac:dyDescent="0.2">
      <c r="B13" s="6">
        <v>184</v>
      </c>
      <c r="C13" t="s">
        <v>11</v>
      </c>
      <c r="D13" s="2"/>
      <c r="E13" s="2"/>
      <c r="F13" s="2"/>
      <c r="G13" s="2"/>
      <c r="H13" s="2" t="s">
        <v>20</v>
      </c>
      <c r="I13" s="2" t="s">
        <v>20</v>
      </c>
      <c r="J13" s="2"/>
      <c r="K13" s="2"/>
      <c r="L13" s="2"/>
      <c r="M13" s="2"/>
      <c r="N13" s="2"/>
      <c r="O13" s="2" t="s">
        <v>20</v>
      </c>
      <c r="P13" s="2" t="s">
        <v>20</v>
      </c>
      <c r="Q13" s="2"/>
      <c r="R13" s="2"/>
      <c r="S13" s="2"/>
      <c r="T13" s="2"/>
      <c r="U13" s="2"/>
      <c r="V13" s="2" t="s">
        <v>20</v>
      </c>
      <c r="W13" s="2" t="s">
        <v>20</v>
      </c>
      <c r="X13" s="2"/>
      <c r="Y13" s="2"/>
      <c r="Z13" s="2"/>
      <c r="AA13" s="2"/>
      <c r="AB13" s="2"/>
      <c r="AC13" s="2" t="s">
        <v>20</v>
      </c>
      <c r="AD13" s="2" t="s">
        <v>20</v>
      </c>
      <c r="AE13" s="2"/>
      <c r="AF13" s="2"/>
      <c r="AG13" s="2"/>
      <c r="AH13" s="2"/>
      <c r="AI13" s="10">
        <f t="shared" si="0"/>
        <v>0</v>
      </c>
    </row>
    <row r="14" spans="1:38" x14ac:dyDescent="0.2">
      <c r="C14" t="s">
        <v>7</v>
      </c>
      <c r="D14" s="2">
        <v>8</v>
      </c>
      <c r="E14" s="2">
        <v>8</v>
      </c>
      <c r="F14" s="2">
        <v>8</v>
      </c>
      <c r="G14" s="2">
        <v>8</v>
      </c>
      <c r="H14" s="2" t="s">
        <v>20</v>
      </c>
      <c r="I14" s="2" t="s">
        <v>20</v>
      </c>
      <c r="J14" s="2">
        <v>8</v>
      </c>
      <c r="K14" s="2">
        <v>8</v>
      </c>
      <c r="L14" s="2">
        <v>8</v>
      </c>
      <c r="M14" s="2">
        <v>8</v>
      </c>
      <c r="N14" s="2">
        <v>8</v>
      </c>
      <c r="O14" s="2" t="s">
        <v>20</v>
      </c>
      <c r="P14" s="2" t="s">
        <v>20</v>
      </c>
      <c r="Q14" s="2">
        <v>8</v>
      </c>
      <c r="R14" s="2">
        <v>8</v>
      </c>
      <c r="S14" s="2">
        <v>8</v>
      </c>
      <c r="T14" s="2">
        <v>8</v>
      </c>
      <c r="U14" s="2">
        <v>8</v>
      </c>
      <c r="V14" s="2" t="s">
        <v>20</v>
      </c>
      <c r="W14" s="2" t="s">
        <v>20</v>
      </c>
      <c r="X14" s="2" t="s">
        <v>33</v>
      </c>
      <c r="Y14" s="2" t="s">
        <v>33</v>
      </c>
      <c r="Z14" s="2" t="s">
        <v>33</v>
      </c>
      <c r="AA14" s="2" t="s">
        <v>33</v>
      </c>
      <c r="AB14" s="2" t="s">
        <v>33</v>
      </c>
      <c r="AC14" s="2" t="s">
        <v>20</v>
      </c>
      <c r="AD14" s="2" t="s">
        <v>20</v>
      </c>
      <c r="AE14" s="2">
        <v>8</v>
      </c>
      <c r="AF14" s="2">
        <v>8</v>
      </c>
      <c r="AG14" s="2">
        <v>8</v>
      </c>
      <c r="AH14" s="2">
        <v>8</v>
      </c>
      <c r="AI14" s="10">
        <f t="shared" si="0"/>
        <v>144</v>
      </c>
    </row>
    <row r="15" spans="1:38" x14ac:dyDescent="0.2">
      <c r="C15" t="s">
        <v>12</v>
      </c>
      <c r="D15" s="2"/>
      <c r="E15" s="2"/>
      <c r="F15" s="2"/>
      <c r="G15" s="2"/>
      <c r="H15" s="2" t="s">
        <v>20</v>
      </c>
      <c r="I15" s="2" t="s">
        <v>20</v>
      </c>
      <c r="J15" s="2"/>
      <c r="K15" s="2"/>
      <c r="L15" s="2"/>
      <c r="M15" s="2"/>
      <c r="N15" s="2"/>
      <c r="O15" s="2" t="s">
        <v>20</v>
      </c>
      <c r="P15" s="2" t="s">
        <v>20</v>
      </c>
      <c r="Q15" s="2"/>
      <c r="R15" s="2"/>
      <c r="S15" s="2"/>
      <c r="T15" s="2"/>
      <c r="U15" s="2"/>
      <c r="V15" s="2" t="s">
        <v>20</v>
      </c>
      <c r="W15" s="2" t="s">
        <v>20</v>
      </c>
      <c r="X15" s="2"/>
      <c r="Y15" s="2"/>
      <c r="Z15" s="2"/>
      <c r="AA15" s="2"/>
      <c r="AB15" s="2"/>
      <c r="AC15" s="2" t="s">
        <v>20</v>
      </c>
      <c r="AD15" s="2" t="s">
        <v>20</v>
      </c>
      <c r="AE15" s="2"/>
      <c r="AF15" s="2"/>
      <c r="AG15" s="2"/>
      <c r="AH15" s="2"/>
      <c r="AI15" s="10">
        <f t="shared" si="0"/>
        <v>0</v>
      </c>
    </row>
    <row r="16" spans="1:38" x14ac:dyDescent="0.2">
      <c r="C16" t="s">
        <v>9</v>
      </c>
      <c r="D16" s="2"/>
      <c r="E16" s="2"/>
      <c r="F16" s="2"/>
      <c r="G16" s="2"/>
      <c r="H16" s="2" t="s">
        <v>20</v>
      </c>
      <c r="I16" s="2" t="s">
        <v>20</v>
      </c>
      <c r="J16" s="2"/>
      <c r="K16" s="2"/>
      <c r="L16" s="2"/>
      <c r="M16" s="2"/>
      <c r="N16" s="2"/>
      <c r="O16" s="2" t="s">
        <v>20</v>
      </c>
      <c r="P16" s="2" t="s">
        <v>20</v>
      </c>
      <c r="Q16" s="2"/>
      <c r="R16" s="2"/>
      <c r="S16" s="2"/>
      <c r="T16" s="2"/>
      <c r="U16" s="2"/>
      <c r="V16" s="2" t="s">
        <v>20</v>
      </c>
      <c r="W16" s="2" t="s">
        <v>20</v>
      </c>
      <c r="X16" s="2"/>
      <c r="Y16" s="2"/>
      <c r="Z16" s="2"/>
      <c r="AA16" s="2"/>
      <c r="AB16" s="2"/>
      <c r="AC16" s="2" t="s">
        <v>20</v>
      </c>
      <c r="AD16" s="2" t="s">
        <v>20</v>
      </c>
      <c r="AE16" s="2"/>
      <c r="AF16" s="2"/>
      <c r="AG16" s="2"/>
      <c r="AH16" s="2"/>
      <c r="AI16" s="10">
        <f t="shared" si="0"/>
        <v>0</v>
      </c>
    </row>
    <row r="17" spans="2:37" s="3" customFormat="1" x14ac:dyDescent="0.2">
      <c r="AI17" s="11">
        <f>SUM(AI9:AI16)</f>
        <v>144</v>
      </c>
      <c r="AK17" s="18">
        <f>SUM(AI17,AJ9:AK9)</f>
        <v>144</v>
      </c>
    </row>
    <row r="18" spans="2:37" x14ac:dyDescent="0.2">
      <c r="B18" s="6" t="s">
        <v>5</v>
      </c>
      <c r="C18" t="s">
        <v>6</v>
      </c>
      <c r="E18" s="2" t="s">
        <v>20</v>
      </c>
      <c r="F18" s="2" t="s">
        <v>20</v>
      </c>
      <c r="L18" s="2" t="s">
        <v>20</v>
      </c>
      <c r="M18" s="2" t="s">
        <v>20</v>
      </c>
      <c r="S18" s="2" t="s">
        <v>20</v>
      </c>
      <c r="T18" s="2" t="s">
        <v>20</v>
      </c>
      <c r="Z18" s="2" t="s">
        <v>20</v>
      </c>
      <c r="AA18" s="2" t="s">
        <v>20</v>
      </c>
      <c r="AG18" s="2" t="s">
        <v>20</v>
      </c>
      <c r="AH18" s="2" t="s">
        <v>20</v>
      </c>
      <c r="AI18" s="10">
        <f>SUM(D18,G18:K18,N18:R18,U18:Y18,AB18:AF18)</f>
        <v>0</v>
      </c>
      <c r="AJ18">
        <v>40</v>
      </c>
      <c r="AK18">
        <v>0</v>
      </c>
    </row>
    <row r="19" spans="2:37" x14ac:dyDescent="0.2">
      <c r="C19" t="s">
        <v>10</v>
      </c>
      <c r="E19" s="2" t="s">
        <v>20</v>
      </c>
      <c r="F19" s="2" t="s">
        <v>20</v>
      </c>
      <c r="L19" s="2" t="s">
        <v>20</v>
      </c>
      <c r="M19" s="2" t="s">
        <v>20</v>
      </c>
      <c r="S19" s="2" t="s">
        <v>20</v>
      </c>
      <c r="T19" s="2" t="s">
        <v>20</v>
      </c>
      <c r="Z19" s="2" t="s">
        <v>20</v>
      </c>
      <c r="AA19" s="2" t="s">
        <v>20</v>
      </c>
      <c r="AG19" s="2" t="s">
        <v>20</v>
      </c>
      <c r="AH19" s="2" t="s">
        <v>20</v>
      </c>
      <c r="AI19" s="10">
        <f t="shared" ref="AI19:AI25" si="1">SUM(D19,G19:K19,N19:R19,U19:Y19,AB19:AF19)</f>
        <v>0</v>
      </c>
    </row>
    <row r="20" spans="2:37" x14ac:dyDescent="0.2">
      <c r="B20" t="s">
        <v>28</v>
      </c>
      <c r="C20" t="s">
        <v>8</v>
      </c>
      <c r="E20" s="2" t="s">
        <v>20</v>
      </c>
      <c r="F20" s="2" t="s">
        <v>20</v>
      </c>
      <c r="L20" s="2" t="s">
        <v>20</v>
      </c>
      <c r="M20" s="2" t="s">
        <v>20</v>
      </c>
      <c r="S20" s="2" t="s">
        <v>20</v>
      </c>
      <c r="T20" s="2" t="s">
        <v>20</v>
      </c>
      <c r="Z20" s="2" t="s">
        <v>20</v>
      </c>
      <c r="AA20" s="2" t="s">
        <v>20</v>
      </c>
      <c r="AG20" s="2" t="s">
        <v>20</v>
      </c>
      <c r="AH20" s="2" t="s">
        <v>20</v>
      </c>
      <c r="AI20" s="10">
        <f t="shared" si="1"/>
        <v>0</v>
      </c>
    </row>
    <row r="21" spans="2:37" x14ac:dyDescent="0.2">
      <c r="C21" t="s">
        <v>13</v>
      </c>
      <c r="E21" s="2" t="s">
        <v>20</v>
      </c>
      <c r="F21" s="2" t="s">
        <v>20</v>
      </c>
      <c r="L21" s="2" t="s">
        <v>20</v>
      </c>
      <c r="M21" s="2" t="s">
        <v>20</v>
      </c>
      <c r="S21" s="2" t="s">
        <v>20</v>
      </c>
      <c r="T21" s="2" t="s">
        <v>20</v>
      </c>
      <c r="U21">
        <v>8</v>
      </c>
      <c r="V21">
        <v>8</v>
      </c>
      <c r="W21">
        <v>8</v>
      </c>
      <c r="X21">
        <v>8</v>
      </c>
      <c r="Y21">
        <v>8</v>
      </c>
      <c r="Z21" s="2" t="s">
        <v>20</v>
      </c>
      <c r="AA21" s="2" t="s">
        <v>20</v>
      </c>
      <c r="AG21" s="2" t="s">
        <v>20</v>
      </c>
      <c r="AH21" s="2" t="s">
        <v>20</v>
      </c>
      <c r="AI21" s="10">
        <f t="shared" si="1"/>
        <v>40</v>
      </c>
    </row>
    <row r="22" spans="2:37" x14ac:dyDescent="0.2">
      <c r="B22" s="6">
        <v>168</v>
      </c>
      <c r="C22" t="s">
        <v>11</v>
      </c>
      <c r="E22" s="2" t="s">
        <v>20</v>
      </c>
      <c r="F22" s="2" t="s">
        <v>20</v>
      </c>
      <c r="L22" s="2" t="s">
        <v>20</v>
      </c>
      <c r="M22" s="2" t="s">
        <v>20</v>
      </c>
      <c r="P22">
        <v>8</v>
      </c>
      <c r="Q22">
        <v>8</v>
      </c>
      <c r="R22">
        <v>8</v>
      </c>
      <c r="S22" s="2" t="s">
        <v>20</v>
      </c>
      <c r="T22" s="2" t="s">
        <v>20</v>
      </c>
      <c r="Z22" s="2" t="s">
        <v>20</v>
      </c>
      <c r="AA22" s="2" t="s">
        <v>20</v>
      </c>
      <c r="AG22" s="2" t="s">
        <v>20</v>
      </c>
      <c r="AH22" s="2" t="s">
        <v>20</v>
      </c>
      <c r="AI22" s="10">
        <f t="shared" si="1"/>
        <v>24</v>
      </c>
    </row>
    <row r="23" spans="2:37" x14ac:dyDescent="0.2">
      <c r="C23" t="s">
        <v>7</v>
      </c>
      <c r="D23">
        <v>8</v>
      </c>
      <c r="E23" s="2" t="s">
        <v>20</v>
      </c>
      <c r="F23" s="2" t="s">
        <v>20</v>
      </c>
      <c r="G23" s="2">
        <v>8</v>
      </c>
      <c r="H23" s="2">
        <v>8</v>
      </c>
      <c r="I23" s="2">
        <v>8</v>
      </c>
      <c r="J23" s="2">
        <v>8</v>
      </c>
      <c r="K23" s="2">
        <v>8</v>
      </c>
      <c r="L23" s="2" t="s">
        <v>20</v>
      </c>
      <c r="M23" s="2" t="s">
        <v>20</v>
      </c>
      <c r="S23" s="2" t="s">
        <v>20</v>
      </c>
      <c r="T23" s="2" t="s">
        <v>20</v>
      </c>
      <c r="Z23" s="2" t="s">
        <v>20</v>
      </c>
      <c r="AA23" s="2" t="s">
        <v>20</v>
      </c>
      <c r="AB23" t="s">
        <v>33</v>
      </c>
      <c r="AC23" t="s">
        <v>33</v>
      </c>
      <c r="AD23" t="s">
        <v>33</v>
      </c>
      <c r="AE23" t="s">
        <v>33</v>
      </c>
      <c r="AF23" t="s">
        <v>33</v>
      </c>
      <c r="AG23" s="2" t="s">
        <v>20</v>
      </c>
      <c r="AH23" s="2" t="s">
        <v>20</v>
      </c>
      <c r="AI23" s="10">
        <f t="shared" si="1"/>
        <v>48</v>
      </c>
    </row>
    <row r="24" spans="2:37" x14ac:dyDescent="0.2">
      <c r="C24" t="s">
        <v>12</v>
      </c>
      <c r="E24" s="2" t="s">
        <v>20</v>
      </c>
      <c r="F24" s="2" t="s">
        <v>20</v>
      </c>
      <c r="L24" s="2" t="s">
        <v>20</v>
      </c>
      <c r="M24" s="2" t="s">
        <v>20</v>
      </c>
      <c r="N24">
        <v>8</v>
      </c>
      <c r="O24">
        <v>8</v>
      </c>
      <c r="S24" s="2" t="s">
        <v>20</v>
      </c>
      <c r="T24" s="2" t="s">
        <v>20</v>
      </c>
      <c r="Z24" s="2" t="s">
        <v>20</v>
      </c>
      <c r="AA24" s="2" t="s">
        <v>20</v>
      </c>
      <c r="AG24" s="2" t="s">
        <v>20</v>
      </c>
      <c r="AH24" s="2" t="s">
        <v>20</v>
      </c>
      <c r="AI24" s="10">
        <f t="shared" si="1"/>
        <v>16</v>
      </c>
    </row>
    <row r="25" spans="2:37" x14ac:dyDescent="0.2">
      <c r="C25" t="s">
        <v>9</v>
      </c>
      <c r="E25" s="2" t="s">
        <v>20</v>
      </c>
      <c r="F25" s="2" t="s">
        <v>20</v>
      </c>
      <c r="L25" s="2" t="s">
        <v>20</v>
      </c>
      <c r="M25" s="2" t="s">
        <v>20</v>
      </c>
      <c r="S25" s="2" t="s">
        <v>20</v>
      </c>
      <c r="T25" s="2" t="s">
        <v>20</v>
      </c>
      <c r="Z25" s="2" t="s">
        <v>20</v>
      </c>
      <c r="AA25" s="2" t="s">
        <v>20</v>
      </c>
      <c r="AG25" s="2" t="s">
        <v>20</v>
      </c>
      <c r="AH25" s="2" t="s">
        <v>20</v>
      </c>
      <c r="AI25" s="10">
        <f t="shared" si="1"/>
        <v>0</v>
      </c>
    </row>
    <row r="26" spans="2:37" s="1" customFormat="1" x14ac:dyDescent="0.2">
      <c r="AI26" s="11">
        <f>SUM(AI18:AI25)</f>
        <v>128</v>
      </c>
      <c r="AK26" s="20">
        <f>SUM(AI26,AJ18:AK18)</f>
        <v>168</v>
      </c>
    </row>
    <row r="27" spans="2:37" x14ac:dyDescent="0.2">
      <c r="B27" s="6" t="s">
        <v>14</v>
      </c>
      <c r="C27" t="s">
        <v>6</v>
      </c>
      <c r="D27" t="s">
        <v>33</v>
      </c>
      <c r="E27" t="s">
        <v>33</v>
      </c>
      <c r="F27" t="s">
        <v>33</v>
      </c>
      <c r="G27" t="s">
        <v>33</v>
      </c>
      <c r="H27" t="s">
        <v>33</v>
      </c>
      <c r="I27" s="2" t="s">
        <v>20</v>
      </c>
      <c r="J27" s="2" t="s">
        <v>20</v>
      </c>
      <c r="P27" s="2" t="s">
        <v>20</v>
      </c>
      <c r="Q27" s="2" t="s">
        <v>20</v>
      </c>
      <c r="W27" s="2" t="s">
        <v>20</v>
      </c>
      <c r="X27" s="2" t="s">
        <v>20</v>
      </c>
      <c r="AD27" s="2" t="s">
        <v>20</v>
      </c>
      <c r="AE27" s="2" t="s">
        <v>20</v>
      </c>
      <c r="AG27" s="2"/>
      <c r="AH27" s="9"/>
      <c r="AI27" s="10">
        <f>SUM(D27:H27,K27:O27,R27:V27,Y27:AC27,AF27:AG27)</f>
        <v>0</v>
      </c>
      <c r="AJ27">
        <v>40</v>
      </c>
      <c r="AK27">
        <v>0</v>
      </c>
    </row>
    <row r="28" spans="2:37" x14ac:dyDescent="0.2">
      <c r="C28" t="s">
        <v>10</v>
      </c>
      <c r="D28" t="s">
        <v>33</v>
      </c>
      <c r="E28" t="s">
        <v>33</v>
      </c>
      <c r="F28" t="s">
        <v>33</v>
      </c>
      <c r="G28" t="s">
        <v>33</v>
      </c>
      <c r="H28" t="s">
        <v>33</v>
      </c>
      <c r="I28" s="2" t="s">
        <v>20</v>
      </c>
      <c r="J28" s="2" t="s">
        <v>20</v>
      </c>
      <c r="P28" s="2" t="s">
        <v>20</v>
      </c>
      <c r="Q28" s="2" t="s">
        <v>20</v>
      </c>
      <c r="W28" s="2" t="s">
        <v>20</v>
      </c>
      <c r="X28" s="2" t="s">
        <v>20</v>
      </c>
      <c r="Y28" s="2"/>
      <c r="Z28" s="2"/>
      <c r="AA28" s="2">
        <v>8</v>
      </c>
      <c r="AB28" s="2">
        <v>8</v>
      </c>
      <c r="AC28" s="2">
        <v>8</v>
      </c>
      <c r="AD28" s="2" t="s">
        <v>20</v>
      </c>
      <c r="AE28" s="2" t="s">
        <v>20</v>
      </c>
      <c r="AH28" s="9"/>
      <c r="AI28" s="10">
        <f t="shared" ref="AI28:AI34" si="2">SUM(D28:H28,K28:O28,R28:V28,Y28:AC28,AF28:AG28)</f>
        <v>24</v>
      </c>
    </row>
    <row r="29" spans="2:37" x14ac:dyDescent="0.2">
      <c r="B29" t="s">
        <v>29</v>
      </c>
      <c r="C29" t="s">
        <v>8</v>
      </c>
      <c r="D29" t="s">
        <v>33</v>
      </c>
      <c r="E29" t="s">
        <v>33</v>
      </c>
      <c r="F29" t="s">
        <v>33</v>
      </c>
      <c r="G29" t="s">
        <v>33</v>
      </c>
      <c r="H29" t="s">
        <v>33</v>
      </c>
      <c r="I29" s="2" t="s">
        <v>20</v>
      </c>
      <c r="J29" s="2" t="s">
        <v>20</v>
      </c>
      <c r="P29" s="2" t="s">
        <v>20</v>
      </c>
      <c r="Q29" s="2" t="s">
        <v>20</v>
      </c>
      <c r="W29" s="2" t="s">
        <v>20</v>
      </c>
      <c r="X29" s="2" t="s">
        <v>20</v>
      </c>
      <c r="Y29" s="2"/>
      <c r="Z29" s="2"/>
      <c r="AA29" s="2"/>
      <c r="AB29" s="2"/>
      <c r="AC29" s="2"/>
      <c r="AD29" s="2" t="s">
        <v>20</v>
      </c>
      <c r="AE29" s="2" t="s">
        <v>20</v>
      </c>
      <c r="AH29" s="9"/>
      <c r="AI29" s="10">
        <f t="shared" si="2"/>
        <v>0</v>
      </c>
    </row>
    <row r="30" spans="2:37" x14ac:dyDescent="0.2">
      <c r="C30" t="s">
        <v>13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I30" s="2" t="s">
        <v>20</v>
      </c>
      <c r="J30" s="2" t="s">
        <v>20</v>
      </c>
      <c r="P30" s="2" t="s">
        <v>20</v>
      </c>
      <c r="Q30" s="2" t="s">
        <v>20</v>
      </c>
      <c r="R30" s="2"/>
      <c r="S30" s="2"/>
      <c r="T30" s="2"/>
      <c r="U30" s="2">
        <v>8</v>
      </c>
      <c r="V30" s="2">
        <v>8</v>
      </c>
      <c r="W30" s="2" t="s">
        <v>20</v>
      </c>
      <c r="X30" s="2" t="s">
        <v>20</v>
      </c>
      <c r="Y30" s="2">
        <v>8</v>
      </c>
      <c r="Z30" s="2">
        <v>8</v>
      </c>
      <c r="AA30" s="2"/>
      <c r="AB30" s="2"/>
      <c r="AC30" s="2"/>
      <c r="AD30" s="2" t="s">
        <v>20</v>
      </c>
      <c r="AE30" s="2" t="s">
        <v>20</v>
      </c>
      <c r="AF30" s="2">
        <v>8</v>
      </c>
      <c r="AG30" s="2">
        <v>8</v>
      </c>
      <c r="AH30" s="9"/>
      <c r="AI30" s="10">
        <f t="shared" si="2"/>
        <v>48</v>
      </c>
    </row>
    <row r="31" spans="2:37" x14ac:dyDescent="0.2">
      <c r="B31" s="6">
        <v>176</v>
      </c>
      <c r="C31" t="s">
        <v>11</v>
      </c>
      <c r="D31" t="s">
        <v>33</v>
      </c>
      <c r="E31" t="s">
        <v>33</v>
      </c>
      <c r="F31" t="s">
        <v>33</v>
      </c>
      <c r="G31" t="s">
        <v>33</v>
      </c>
      <c r="H31" t="s">
        <v>33</v>
      </c>
      <c r="I31" s="2" t="s">
        <v>20</v>
      </c>
      <c r="J31" s="2" t="s">
        <v>20</v>
      </c>
      <c r="P31" s="2" t="s">
        <v>20</v>
      </c>
      <c r="Q31" s="2" t="s">
        <v>20</v>
      </c>
      <c r="R31" s="2">
        <v>8</v>
      </c>
      <c r="S31" s="2">
        <v>8</v>
      </c>
      <c r="T31" s="2">
        <v>8</v>
      </c>
      <c r="U31" s="2"/>
      <c r="V31" s="2"/>
      <c r="W31" s="2" t="s">
        <v>20</v>
      </c>
      <c r="X31" s="2" t="s">
        <v>20</v>
      </c>
      <c r="AD31" s="2" t="s">
        <v>20</v>
      </c>
      <c r="AE31" s="2" t="s">
        <v>20</v>
      </c>
      <c r="AH31" s="9"/>
      <c r="AI31" s="10">
        <f t="shared" si="2"/>
        <v>24</v>
      </c>
    </row>
    <row r="32" spans="2:37" x14ac:dyDescent="0.2">
      <c r="C32" t="s">
        <v>7</v>
      </c>
      <c r="D32" t="s">
        <v>33</v>
      </c>
      <c r="E32" t="s">
        <v>33</v>
      </c>
      <c r="F32" t="s">
        <v>33</v>
      </c>
      <c r="G32" t="s">
        <v>33</v>
      </c>
      <c r="H32" t="s">
        <v>33</v>
      </c>
      <c r="I32" s="2" t="s">
        <v>20</v>
      </c>
      <c r="J32" s="2" t="s">
        <v>20</v>
      </c>
      <c r="K32">
        <v>8</v>
      </c>
      <c r="L32">
        <v>8</v>
      </c>
      <c r="M32">
        <v>8</v>
      </c>
      <c r="N32">
        <v>8</v>
      </c>
      <c r="O32">
        <v>8</v>
      </c>
      <c r="P32" s="2" t="s">
        <v>20</v>
      </c>
      <c r="Q32" s="2" t="s">
        <v>20</v>
      </c>
      <c r="W32" s="2" t="s">
        <v>20</v>
      </c>
      <c r="X32" s="2" t="s">
        <v>20</v>
      </c>
      <c r="AD32" s="2" t="s">
        <v>20</v>
      </c>
      <c r="AE32" s="2" t="s">
        <v>20</v>
      </c>
      <c r="AH32" s="9"/>
      <c r="AI32" s="10">
        <f t="shared" si="2"/>
        <v>40</v>
      </c>
    </row>
    <row r="33" spans="2:37" x14ac:dyDescent="0.2">
      <c r="C33" t="s">
        <v>12</v>
      </c>
      <c r="D33" t="s">
        <v>33</v>
      </c>
      <c r="E33" t="s">
        <v>33</v>
      </c>
      <c r="F33" t="s">
        <v>33</v>
      </c>
      <c r="G33" t="s">
        <v>33</v>
      </c>
      <c r="H33" t="s">
        <v>33</v>
      </c>
      <c r="I33" s="2" t="s">
        <v>20</v>
      </c>
      <c r="J33" s="2" t="s">
        <v>20</v>
      </c>
      <c r="K33" s="2"/>
      <c r="L33" s="2"/>
      <c r="M33" s="2"/>
      <c r="N33" s="2"/>
      <c r="O33" s="2"/>
      <c r="P33" s="2" t="s">
        <v>20</v>
      </c>
      <c r="Q33" s="2" t="s">
        <v>20</v>
      </c>
      <c r="W33" s="2" t="s">
        <v>20</v>
      </c>
      <c r="X33" s="2" t="s">
        <v>20</v>
      </c>
      <c r="AD33" s="2" t="s">
        <v>20</v>
      </c>
      <c r="AE33" s="2" t="s">
        <v>20</v>
      </c>
      <c r="AH33" s="9"/>
      <c r="AI33" s="10">
        <f t="shared" si="2"/>
        <v>0</v>
      </c>
    </row>
    <row r="34" spans="2:37" x14ac:dyDescent="0.2">
      <c r="C34" t="s">
        <v>9</v>
      </c>
      <c r="D34" t="s">
        <v>33</v>
      </c>
      <c r="E34" t="s">
        <v>33</v>
      </c>
      <c r="F34" t="s">
        <v>33</v>
      </c>
      <c r="G34" t="s">
        <v>33</v>
      </c>
      <c r="H34" t="s">
        <v>33</v>
      </c>
      <c r="I34" s="2" t="s">
        <v>20</v>
      </c>
      <c r="J34" s="2" t="s">
        <v>20</v>
      </c>
      <c r="P34" s="2" t="s">
        <v>20</v>
      </c>
      <c r="Q34" s="2" t="s">
        <v>20</v>
      </c>
      <c r="W34" s="2" t="s">
        <v>20</v>
      </c>
      <c r="X34" s="2" t="s">
        <v>20</v>
      </c>
      <c r="AD34" s="2" t="s">
        <v>20</v>
      </c>
      <c r="AE34" s="2" t="s">
        <v>20</v>
      </c>
      <c r="AH34" s="9"/>
      <c r="AI34" s="10">
        <f t="shared" si="2"/>
        <v>0</v>
      </c>
    </row>
    <row r="35" spans="2:37" s="1" customFormat="1" x14ac:dyDescent="0.2">
      <c r="AI35" s="11">
        <f>SUM(AI27:AI34)</f>
        <v>136</v>
      </c>
      <c r="AK35" s="20">
        <f>SUM(AI35,AJ27:AK27)</f>
        <v>176</v>
      </c>
    </row>
    <row r="36" spans="2:37" x14ac:dyDescent="0.2">
      <c r="B36" s="6" t="s">
        <v>15</v>
      </c>
      <c r="C36" t="s">
        <v>16</v>
      </c>
      <c r="F36" s="4" t="s">
        <v>25</v>
      </c>
      <c r="G36" s="2" t="s">
        <v>20</v>
      </c>
      <c r="H36" s="2" t="s">
        <v>20</v>
      </c>
      <c r="N36" s="2" t="s">
        <v>20</v>
      </c>
      <c r="O36" s="2" t="s">
        <v>20</v>
      </c>
      <c r="U36" s="2" t="s">
        <v>20</v>
      </c>
      <c r="V36" s="2" t="s">
        <v>20</v>
      </c>
      <c r="AB36" s="2" t="s">
        <v>20</v>
      </c>
      <c r="AC36" s="2" t="s">
        <v>20</v>
      </c>
      <c r="AH36" s="4" t="s">
        <v>25</v>
      </c>
      <c r="AI36" s="10">
        <f>SUM(D36:E36,I36:M36,P36:T36,W36:AA36,AD36:AG36)</f>
        <v>0</v>
      </c>
      <c r="AK36">
        <v>16</v>
      </c>
    </row>
    <row r="37" spans="2:37" x14ac:dyDescent="0.2">
      <c r="C37" t="s">
        <v>10</v>
      </c>
      <c r="D37">
        <v>8</v>
      </c>
      <c r="E37">
        <v>8</v>
      </c>
      <c r="F37" s="4" t="s">
        <v>25</v>
      </c>
      <c r="G37" s="2" t="s">
        <v>20</v>
      </c>
      <c r="H37" s="2" t="s">
        <v>20</v>
      </c>
      <c r="I37">
        <v>8</v>
      </c>
      <c r="J37">
        <v>8</v>
      </c>
      <c r="K37">
        <v>8</v>
      </c>
      <c r="L37">
        <v>8</v>
      </c>
      <c r="M37">
        <v>8</v>
      </c>
      <c r="N37" s="2" t="s">
        <v>20</v>
      </c>
      <c r="O37" s="2" t="s">
        <v>20</v>
      </c>
      <c r="U37" s="2" t="s">
        <v>20</v>
      </c>
      <c r="V37" s="2" t="s">
        <v>20</v>
      </c>
      <c r="AB37" s="2" t="s">
        <v>20</v>
      </c>
      <c r="AC37" s="2" t="s">
        <v>20</v>
      </c>
      <c r="AH37" s="4" t="s">
        <v>25</v>
      </c>
      <c r="AI37" s="10">
        <f t="shared" ref="AI37:AI44" si="3">SUM(D37:E37,I37:M37,P37:T37,W37:AA37,AD37:AG37)</f>
        <v>56</v>
      </c>
    </row>
    <row r="38" spans="2:37" x14ac:dyDescent="0.2">
      <c r="B38" t="s">
        <v>28</v>
      </c>
      <c r="C38" t="s">
        <v>8</v>
      </c>
      <c r="F38" s="4" t="s">
        <v>25</v>
      </c>
      <c r="G38" s="2" t="s">
        <v>20</v>
      </c>
      <c r="H38" s="2" t="s">
        <v>20</v>
      </c>
      <c r="N38" s="2" t="s">
        <v>20</v>
      </c>
      <c r="O38" s="2" t="s">
        <v>20</v>
      </c>
      <c r="U38" s="2" t="s">
        <v>20</v>
      </c>
      <c r="V38" s="2" t="s">
        <v>20</v>
      </c>
      <c r="AB38" s="2" t="s">
        <v>20</v>
      </c>
      <c r="AC38" s="2" t="s">
        <v>20</v>
      </c>
      <c r="AH38" s="4" t="s">
        <v>25</v>
      </c>
      <c r="AI38" s="10">
        <f>SUM(D38:E38,I38:M38,P38:T38,W38:AA38,AD38:AG38)</f>
        <v>0</v>
      </c>
    </row>
    <row r="39" spans="2:37" x14ac:dyDescent="0.2">
      <c r="B39" t="s">
        <v>30</v>
      </c>
      <c r="C39" t="s">
        <v>13</v>
      </c>
      <c r="F39" s="4" t="s">
        <v>25</v>
      </c>
      <c r="G39" s="2" t="s">
        <v>20</v>
      </c>
      <c r="H39" s="2" t="s">
        <v>20</v>
      </c>
      <c r="N39" s="2" t="s">
        <v>20</v>
      </c>
      <c r="O39" s="2" t="s">
        <v>20</v>
      </c>
      <c r="U39" s="2" t="s">
        <v>20</v>
      </c>
      <c r="V39" s="2" t="s">
        <v>20</v>
      </c>
      <c r="AB39" s="2" t="s">
        <v>20</v>
      </c>
      <c r="AC39" s="2" t="s">
        <v>20</v>
      </c>
      <c r="AH39" s="4" t="s">
        <v>25</v>
      </c>
      <c r="AI39" s="10">
        <f>SUM(D39:E39,I39:M39,P39:T39,W39:AA39,AD39:AG39)</f>
        <v>0</v>
      </c>
    </row>
    <row r="40" spans="2:37" x14ac:dyDescent="0.2">
      <c r="B40" s="6">
        <v>184</v>
      </c>
      <c r="C40" t="s">
        <v>11</v>
      </c>
      <c r="F40" s="4" t="s">
        <v>25</v>
      </c>
      <c r="G40" s="2" t="s">
        <v>20</v>
      </c>
      <c r="H40" s="2" t="s">
        <v>20</v>
      </c>
      <c r="N40" s="2" t="s">
        <v>20</v>
      </c>
      <c r="O40" s="2" t="s">
        <v>20</v>
      </c>
      <c r="P40">
        <v>8</v>
      </c>
      <c r="Q40">
        <v>8</v>
      </c>
      <c r="R40">
        <v>8</v>
      </c>
      <c r="S40">
        <v>8</v>
      </c>
      <c r="T40">
        <v>8</v>
      </c>
      <c r="U40" s="2" t="s">
        <v>20</v>
      </c>
      <c r="V40" s="2" t="s">
        <v>20</v>
      </c>
      <c r="AB40" s="2" t="s">
        <v>20</v>
      </c>
      <c r="AC40" s="2" t="s">
        <v>20</v>
      </c>
      <c r="AD40">
        <v>8</v>
      </c>
      <c r="AE40">
        <v>8</v>
      </c>
      <c r="AF40">
        <v>8</v>
      </c>
      <c r="AG40">
        <v>8</v>
      </c>
      <c r="AH40" s="4" t="s">
        <v>25</v>
      </c>
      <c r="AI40" s="10">
        <f t="shared" si="3"/>
        <v>72</v>
      </c>
    </row>
    <row r="41" spans="2:37" x14ac:dyDescent="0.2">
      <c r="C41" t="s">
        <v>35</v>
      </c>
      <c r="F41" s="4" t="s">
        <v>25</v>
      </c>
      <c r="G41" s="2" t="s">
        <v>20</v>
      </c>
      <c r="H41" s="2" t="s">
        <v>20</v>
      </c>
      <c r="N41" s="2" t="s">
        <v>20</v>
      </c>
      <c r="O41" s="2" t="s">
        <v>20</v>
      </c>
      <c r="U41" s="2" t="s">
        <v>20</v>
      </c>
      <c r="V41" s="2" t="s">
        <v>20</v>
      </c>
      <c r="AB41" s="2" t="s">
        <v>20</v>
      </c>
      <c r="AC41" s="2" t="s">
        <v>20</v>
      </c>
      <c r="AH41" s="4" t="s">
        <v>25</v>
      </c>
      <c r="AI41" s="10">
        <v>0</v>
      </c>
    </row>
    <row r="42" spans="2:37" x14ac:dyDescent="0.2">
      <c r="C42" t="s">
        <v>7</v>
      </c>
      <c r="F42" s="4" t="s">
        <v>25</v>
      </c>
      <c r="G42" s="2" t="s">
        <v>20</v>
      </c>
      <c r="H42" s="2" t="s">
        <v>20</v>
      </c>
      <c r="N42" s="2" t="s">
        <v>20</v>
      </c>
      <c r="O42" s="2" t="s">
        <v>20</v>
      </c>
      <c r="U42" s="2" t="s">
        <v>20</v>
      </c>
      <c r="V42" s="2" t="s">
        <v>20</v>
      </c>
      <c r="W42">
        <v>8</v>
      </c>
      <c r="X42">
        <v>8</v>
      </c>
      <c r="Y42">
        <v>8</v>
      </c>
      <c r="Z42">
        <v>8</v>
      </c>
      <c r="AA42">
        <v>8</v>
      </c>
      <c r="AB42" s="2" t="s">
        <v>20</v>
      </c>
      <c r="AC42" s="2" t="s">
        <v>20</v>
      </c>
      <c r="AH42" s="4" t="s">
        <v>25</v>
      </c>
      <c r="AI42" s="10">
        <f t="shared" si="3"/>
        <v>40</v>
      </c>
    </row>
    <row r="43" spans="2:37" x14ac:dyDescent="0.2">
      <c r="C43" t="s">
        <v>12</v>
      </c>
      <c r="F43" s="4" t="s">
        <v>25</v>
      </c>
      <c r="G43" s="2" t="s">
        <v>20</v>
      </c>
      <c r="H43" s="2" t="s">
        <v>20</v>
      </c>
      <c r="N43" s="2" t="s">
        <v>20</v>
      </c>
      <c r="O43" s="2" t="s">
        <v>20</v>
      </c>
      <c r="U43" s="2" t="s">
        <v>20</v>
      </c>
      <c r="V43" s="2" t="s">
        <v>20</v>
      </c>
      <c r="AB43" s="2" t="s">
        <v>20</v>
      </c>
      <c r="AC43" s="2" t="s">
        <v>20</v>
      </c>
      <c r="AH43" s="4" t="s">
        <v>25</v>
      </c>
      <c r="AI43" s="10">
        <f t="shared" si="3"/>
        <v>0</v>
      </c>
    </row>
    <row r="44" spans="2:37" x14ac:dyDescent="0.2">
      <c r="C44" t="s">
        <v>9</v>
      </c>
      <c r="F44" s="4" t="s">
        <v>25</v>
      </c>
      <c r="G44" s="2" t="s">
        <v>20</v>
      </c>
      <c r="H44" s="2" t="s">
        <v>20</v>
      </c>
      <c r="N44" s="2" t="s">
        <v>20</v>
      </c>
      <c r="O44" s="2" t="s">
        <v>20</v>
      </c>
      <c r="U44" s="2" t="s">
        <v>20</v>
      </c>
      <c r="V44" s="2" t="s">
        <v>20</v>
      </c>
      <c r="AB44" s="2" t="s">
        <v>20</v>
      </c>
      <c r="AC44" s="2" t="s">
        <v>20</v>
      </c>
      <c r="AH44" s="4" t="s">
        <v>25</v>
      </c>
      <c r="AI44" s="10">
        <f t="shared" si="3"/>
        <v>0</v>
      </c>
    </row>
    <row r="45" spans="2:37" s="1" customFormat="1" x14ac:dyDescent="0.2">
      <c r="AI45" s="11">
        <f>SUM(AI36:AI44)</f>
        <v>168</v>
      </c>
      <c r="AK45" s="20">
        <f>SUM(AI45,AJ36:AK36)</f>
        <v>184</v>
      </c>
    </row>
    <row r="46" spans="2:37" x14ac:dyDescent="0.2">
      <c r="B46" s="6" t="s">
        <v>18</v>
      </c>
      <c r="C46" t="s">
        <v>16</v>
      </c>
      <c r="D46" s="2" t="s">
        <v>20</v>
      </c>
      <c r="E46" s="2" t="s">
        <v>20</v>
      </c>
      <c r="K46" s="2" t="s">
        <v>20</v>
      </c>
      <c r="L46" s="2" t="s">
        <v>20</v>
      </c>
      <c r="R46" s="2" t="s">
        <v>20</v>
      </c>
      <c r="S46" s="2" t="s">
        <v>20</v>
      </c>
      <c r="Y46" s="2" t="s">
        <v>20</v>
      </c>
      <c r="Z46" s="2" t="s">
        <v>20</v>
      </c>
      <c r="AF46" s="2" t="s">
        <v>20</v>
      </c>
      <c r="AG46" s="2" t="s">
        <v>20</v>
      </c>
      <c r="AH46" s="9"/>
      <c r="AI46" s="10">
        <f>SUM(F46:J46,M46:Q46,T46:X46,AA46:AE46)</f>
        <v>0</v>
      </c>
    </row>
    <row r="47" spans="2:37" x14ac:dyDescent="0.2">
      <c r="C47" t="s">
        <v>10</v>
      </c>
      <c r="D47" s="2" t="s">
        <v>20</v>
      </c>
      <c r="E47" s="2" t="s">
        <v>20</v>
      </c>
      <c r="F47">
        <v>8</v>
      </c>
      <c r="G47">
        <v>8</v>
      </c>
      <c r="H47">
        <v>8</v>
      </c>
      <c r="I47">
        <v>8</v>
      </c>
      <c r="J47">
        <v>8</v>
      </c>
      <c r="K47" s="2" t="s">
        <v>20</v>
      </c>
      <c r="L47" s="2" t="s">
        <v>20</v>
      </c>
      <c r="R47" s="2" t="s">
        <v>20</v>
      </c>
      <c r="S47" s="2" t="s">
        <v>20</v>
      </c>
      <c r="Y47" s="2" t="s">
        <v>20</v>
      </c>
      <c r="Z47" s="2" t="s">
        <v>20</v>
      </c>
      <c r="AF47" s="2" t="s">
        <v>20</v>
      </c>
      <c r="AG47" s="2" t="s">
        <v>20</v>
      </c>
      <c r="AH47" s="9"/>
      <c r="AI47" s="10">
        <f t="shared" ref="AI47:AI54" si="4">SUM(F47:J47,M47:Q47,T47:X47,AA47:AE47)</f>
        <v>40</v>
      </c>
    </row>
    <row r="48" spans="2:37" x14ac:dyDescent="0.2">
      <c r="B48" t="s">
        <v>31</v>
      </c>
      <c r="C48" t="s">
        <v>8</v>
      </c>
      <c r="D48" s="2" t="s">
        <v>20</v>
      </c>
      <c r="E48" s="2" t="s">
        <v>20</v>
      </c>
      <c r="K48" s="2" t="s">
        <v>20</v>
      </c>
      <c r="L48" s="2" t="s">
        <v>20</v>
      </c>
      <c r="R48" s="2" t="s">
        <v>20</v>
      </c>
      <c r="S48" s="2" t="s">
        <v>20</v>
      </c>
      <c r="Y48" s="2" t="s">
        <v>20</v>
      </c>
      <c r="Z48" s="2" t="s">
        <v>20</v>
      </c>
      <c r="AF48" s="2" t="s">
        <v>20</v>
      </c>
      <c r="AG48" s="2" t="s">
        <v>20</v>
      </c>
      <c r="AH48" s="9"/>
      <c r="AI48" s="10">
        <f t="shared" si="4"/>
        <v>0</v>
      </c>
    </row>
    <row r="49" spans="2:37" x14ac:dyDescent="0.2">
      <c r="C49" t="s">
        <v>13</v>
      </c>
      <c r="D49" s="2" t="s">
        <v>20</v>
      </c>
      <c r="E49" s="2" t="s">
        <v>20</v>
      </c>
      <c r="K49" s="2" t="s">
        <v>20</v>
      </c>
      <c r="L49" s="2" t="s">
        <v>20</v>
      </c>
      <c r="M49">
        <v>8</v>
      </c>
      <c r="N49">
        <v>8</v>
      </c>
      <c r="O49">
        <v>8</v>
      </c>
      <c r="P49">
        <v>8</v>
      </c>
      <c r="Q49">
        <v>8</v>
      </c>
      <c r="R49" s="2" t="s">
        <v>20</v>
      </c>
      <c r="S49" s="2" t="s">
        <v>20</v>
      </c>
      <c r="Y49" s="2" t="s">
        <v>20</v>
      </c>
      <c r="Z49" s="2" t="s">
        <v>20</v>
      </c>
      <c r="AF49" s="2" t="s">
        <v>20</v>
      </c>
      <c r="AG49" s="2" t="s">
        <v>20</v>
      </c>
      <c r="AH49" s="9"/>
      <c r="AI49" s="10">
        <f t="shared" si="4"/>
        <v>40</v>
      </c>
    </row>
    <row r="50" spans="2:37" x14ac:dyDescent="0.2">
      <c r="B50" s="6">
        <v>160</v>
      </c>
      <c r="C50" t="s">
        <v>11</v>
      </c>
      <c r="D50" s="2" t="s">
        <v>20</v>
      </c>
      <c r="E50" s="2" t="s">
        <v>20</v>
      </c>
      <c r="K50" s="2" t="s">
        <v>20</v>
      </c>
      <c r="L50" s="2" t="s">
        <v>20</v>
      </c>
      <c r="R50" s="2" t="s">
        <v>20</v>
      </c>
      <c r="S50" s="2" t="s">
        <v>20</v>
      </c>
      <c r="T50">
        <v>8</v>
      </c>
      <c r="U50">
        <v>8</v>
      </c>
      <c r="V50">
        <v>8</v>
      </c>
      <c r="W50">
        <v>8</v>
      </c>
      <c r="X50">
        <v>8</v>
      </c>
      <c r="Y50" s="2" t="s">
        <v>20</v>
      </c>
      <c r="Z50" s="2" t="s">
        <v>20</v>
      </c>
      <c r="AA50">
        <v>8</v>
      </c>
      <c r="AB50">
        <v>8</v>
      </c>
      <c r="AC50">
        <v>8</v>
      </c>
      <c r="AD50">
        <v>8</v>
      </c>
      <c r="AE50">
        <v>8</v>
      </c>
      <c r="AF50" s="2" t="s">
        <v>20</v>
      </c>
      <c r="AG50" s="2" t="s">
        <v>20</v>
      </c>
      <c r="AH50" s="9"/>
      <c r="AI50" s="10">
        <f t="shared" si="4"/>
        <v>80</v>
      </c>
    </row>
    <row r="51" spans="2:37" x14ac:dyDescent="0.2">
      <c r="C51" t="s">
        <v>35</v>
      </c>
      <c r="D51" s="2" t="s">
        <v>20</v>
      </c>
      <c r="E51" s="2" t="s">
        <v>20</v>
      </c>
      <c r="K51" s="2" t="s">
        <v>20</v>
      </c>
      <c r="L51" s="2" t="s">
        <v>20</v>
      </c>
      <c r="R51" s="2" t="s">
        <v>20</v>
      </c>
      <c r="S51" s="2" t="s">
        <v>20</v>
      </c>
      <c r="Y51" s="2" t="s">
        <v>20</v>
      </c>
      <c r="Z51" s="2" t="s">
        <v>20</v>
      </c>
      <c r="AF51" s="2" t="s">
        <v>20</v>
      </c>
      <c r="AG51" s="2" t="s">
        <v>20</v>
      </c>
      <c r="AH51" s="9"/>
      <c r="AI51" s="10">
        <f t="shared" si="4"/>
        <v>0</v>
      </c>
    </row>
    <row r="52" spans="2:37" x14ac:dyDescent="0.2">
      <c r="C52" t="s">
        <v>7</v>
      </c>
      <c r="D52" s="2" t="s">
        <v>20</v>
      </c>
      <c r="E52" s="2" t="s">
        <v>20</v>
      </c>
      <c r="K52" s="2" t="s">
        <v>20</v>
      </c>
      <c r="L52" s="2" t="s">
        <v>20</v>
      </c>
      <c r="R52" s="2" t="s">
        <v>20</v>
      </c>
      <c r="S52" s="2" t="s">
        <v>20</v>
      </c>
      <c r="Y52" s="2" t="s">
        <v>20</v>
      </c>
      <c r="Z52" s="2" t="s">
        <v>20</v>
      </c>
      <c r="AF52" s="2" t="s">
        <v>20</v>
      </c>
      <c r="AG52" s="2" t="s">
        <v>20</v>
      </c>
      <c r="AH52" s="9"/>
      <c r="AI52" s="10">
        <f t="shared" si="4"/>
        <v>0</v>
      </c>
    </row>
    <row r="53" spans="2:37" x14ac:dyDescent="0.2">
      <c r="C53" t="s">
        <v>12</v>
      </c>
      <c r="D53" s="2" t="s">
        <v>20</v>
      </c>
      <c r="E53" s="2" t="s">
        <v>20</v>
      </c>
      <c r="K53" s="2" t="s">
        <v>20</v>
      </c>
      <c r="L53" s="2" t="s">
        <v>20</v>
      </c>
      <c r="R53" s="2" t="s">
        <v>20</v>
      </c>
      <c r="S53" s="2" t="s">
        <v>20</v>
      </c>
      <c r="Y53" s="2" t="s">
        <v>20</v>
      </c>
      <c r="Z53" s="2" t="s">
        <v>20</v>
      </c>
      <c r="AF53" s="2" t="s">
        <v>20</v>
      </c>
      <c r="AG53" s="2" t="s">
        <v>20</v>
      </c>
      <c r="AH53" s="9"/>
      <c r="AI53" s="10">
        <f t="shared" si="4"/>
        <v>0</v>
      </c>
    </row>
    <row r="54" spans="2:37" x14ac:dyDescent="0.2">
      <c r="C54" t="s">
        <v>9</v>
      </c>
      <c r="D54" s="2" t="s">
        <v>20</v>
      </c>
      <c r="E54" s="2" t="s">
        <v>20</v>
      </c>
      <c r="K54" s="2" t="s">
        <v>20</v>
      </c>
      <c r="L54" s="2" t="s">
        <v>20</v>
      </c>
      <c r="R54" s="2" t="s">
        <v>20</v>
      </c>
      <c r="S54" s="2" t="s">
        <v>20</v>
      </c>
      <c r="Y54" s="2" t="s">
        <v>20</v>
      </c>
      <c r="Z54" s="2" t="s">
        <v>20</v>
      </c>
      <c r="AF54" s="2" t="s">
        <v>20</v>
      </c>
      <c r="AG54" s="2" t="s">
        <v>20</v>
      </c>
      <c r="AH54" s="9"/>
      <c r="AI54" s="10">
        <f t="shared" si="4"/>
        <v>0</v>
      </c>
    </row>
    <row r="55" spans="2:37" s="1" customFormat="1" x14ac:dyDescent="0.2">
      <c r="AI55" s="11">
        <f>SUM(AI46:AI54)</f>
        <v>160</v>
      </c>
      <c r="AK55" s="1">
        <f>SUM(AI55,AJ46:AK46)</f>
        <v>160</v>
      </c>
    </row>
    <row r="56" spans="2:37" x14ac:dyDescent="0.2">
      <c r="B56" s="6" t="s">
        <v>19</v>
      </c>
      <c r="C56" t="s">
        <v>16</v>
      </c>
      <c r="I56" s="2" t="s">
        <v>20</v>
      </c>
      <c r="J56" s="2" t="s">
        <v>20</v>
      </c>
      <c r="P56" s="2" t="s">
        <v>20</v>
      </c>
      <c r="Q56" s="2" t="s">
        <v>20</v>
      </c>
      <c r="W56" s="2" t="s">
        <v>20</v>
      </c>
      <c r="X56" s="2" t="s">
        <v>20</v>
      </c>
      <c r="Y56" s="2" t="s">
        <v>33</v>
      </c>
      <c r="Z56" s="2" t="s">
        <v>33</v>
      </c>
      <c r="AA56" s="2" t="s">
        <v>33</v>
      </c>
      <c r="AB56" s="4" t="s">
        <v>25</v>
      </c>
      <c r="AC56" s="4" t="s">
        <v>25</v>
      </c>
      <c r="AD56" s="2" t="s">
        <v>20</v>
      </c>
      <c r="AE56" s="2" t="s">
        <v>20</v>
      </c>
      <c r="AF56" s="2" t="s">
        <v>33</v>
      </c>
      <c r="AG56" s="2" t="s">
        <v>33</v>
      </c>
      <c r="AH56" s="2" t="s">
        <v>33</v>
      </c>
      <c r="AI56" s="10">
        <f>SUM(D56:H56,K56:O56,R56:V56)</f>
        <v>0</v>
      </c>
      <c r="AJ56">
        <v>48</v>
      </c>
      <c r="AK56">
        <v>16</v>
      </c>
    </row>
    <row r="57" spans="2:37" x14ac:dyDescent="0.2">
      <c r="C57" t="s">
        <v>10</v>
      </c>
      <c r="I57" s="2" t="s">
        <v>20</v>
      </c>
      <c r="J57" s="2" t="s">
        <v>20</v>
      </c>
      <c r="P57" s="2" t="s">
        <v>20</v>
      </c>
      <c r="Q57" s="2" t="s">
        <v>20</v>
      </c>
      <c r="W57" s="2" t="s">
        <v>20</v>
      </c>
      <c r="X57" s="2" t="s">
        <v>20</v>
      </c>
      <c r="Y57" s="2" t="s">
        <v>33</v>
      </c>
      <c r="Z57" s="2" t="s">
        <v>33</v>
      </c>
      <c r="AA57" s="2" t="s">
        <v>33</v>
      </c>
      <c r="AB57" s="4" t="s">
        <v>25</v>
      </c>
      <c r="AC57" s="4" t="s">
        <v>25</v>
      </c>
      <c r="AD57" s="2" t="s">
        <v>20</v>
      </c>
      <c r="AE57" s="2" t="s">
        <v>20</v>
      </c>
      <c r="AF57" s="2" t="s">
        <v>33</v>
      </c>
      <c r="AG57" s="2" t="s">
        <v>33</v>
      </c>
      <c r="AH57" s="2" t="s">
        <v>33</v>
      </c>
      <c r="AI57" s="10">
        <f t="shared" ref="AI57:AI64" si="5">SUM(D57:H57,K57:O57,R57:V57)</f>
        <v>0</v>
      </c>
    </row>
    <row r="58" spans="2:37" x14ac:dyDescent="0.2">
      <c r="B58" t="s">
        <v>38</v>
      </c>
      <c r="C58" t="s">
        <v>8</v>
      </c>
      <c r="I58" s="2" t="s">
        <v>20</v>
      </c>
      <c r="J58" s="2" t="s">
        <v>20</v>
      </c>
      <c r="P58" s="2" t="s">
        <v>20</v>
      </c>
      <c r="Q58" s="2" t="s">
        <v>20</v>
      </c>
      <c r="W58" s="2" t="s">
        <v>20</v>
      </c>
      <c r="X58" s="2" t="s">
        <v>20</v>
      </c>
      <c r="Y58" s="2" t="s">
        <v>33</v>
      </c>
      <c r="Z58" s="2" t="s">
        <v>33</v>
      </c>
      <c r="AA58" s="2" t="s">
        <v>33</v>
      </c>
      <c r="AB58" s="4" t="s">
        <v>25</v>
      </c>
      <c r="AC58" s="4" t="s">
        <v>25</v>
      </c>
      <c r="AD58" s="2" t="s">
        <v>20</v>
      </c>
      <c r="AE58" s="2" t="s">
        <v>20</v>
      </c>
      <c r="AF58" s="2" t="s">
        <v>33</v>
      </c>
      <c r="AG58" s="2" t="s">
        <v>33</v>
      </c>
      <c r="AH58" s="2" t="s">
        <v>33</v>
      </c>
      <c r="AI58" s="10">
        <f t="shared" si="5"/>
        <v>0</v>
      </c>
    </row>
    <row r="59" spans="2:37" x14ac:dyDescent="0.2">
      <c r="C59" t="s">
        <v>13</v>
      </c>
      <c r="I59" s="2" t="s">
        <v>20</v>
      </c>
      <c r="J59" s="2" t="s">
        <v>20</v>
      </c>
      <c r="P59" s="2" t="s">
        <v>20</v>
      </c>
      <c r="Q59" s="2" t="s">
        <v>20</v>
      </c>
      <c r="R59">
        <v>8</v>
      </c>
      <c r="S59">
        <v>8</v>
      </c>
      <c r="T59">
        <v>8</v>
      </c>
      <c r="U59">
        <v>8</v>
      </c>
      <c r="V59">
        <v>8</v>
      </c>
      <c r="W59" s="2" t="s">
        <v>20</v>
      </c>
      <c r="X59" s="2" t="s">
        <v>20</v>
      </c>
      <c r="Y59" s="2" t="s">
        <v>33</v>
      </c>
      <c r="Z59" s="2" t="s">
        <v>33</v>
      </c>
      <c r="AA59" s="2" t="s">
        <v>33</v>
      </c>
      <c r="AB59" s="4" t="s">
        <v>25</v>
      </c>
      <c r="AC59" s="4" t="s">
        <v>25</v>
      </c>
      <c r="AD59" s="2" t="s">
        <v>20</v>
      </c>
      <c r="AE59" s="2" t="s">
        <v>20</v>
      </c>
      <c r="AF59" s="2" t="s">
        <v>33</v>
      </c>
      <c r="AG59" s="2" t="s">
        <v>33</v>
      </c>
      <c r="AH59" s="2" t="s">
        <v>33</v>
      </c>
      <c r="AI59" s="10">
        <f t="shared" si="5"/>
        <v>40</v>
      </c>
    </row>
    <row r="60" spans="2:37" x14ac:dyDescent="0.2">
      <c r="B60" t="s">
        <v>30</v>
      </c>
      <c r="C60" t="s">
        <v>11</v>
      </c>
      <c r="I60" s="2" t="s">
        <v>20</v>
      </c>
      <c r="J60" s="2" t="s">
        <v>20</v>
      </c>
      <c r="K60">
        <v>8</v>
      </c>
      <c r="L60">
        <v>8</v>
      </c>
      <c r="M60">
        <v>8</v>
      </c>
      <c r="N60">
        <v>8</v>
      </c>
      <c r="O60">
        <v>8</v>
      </c>
      <c r="P60" s="2" t="s">
        <v>20</v>
      </c>
      <c r="Q60" s="2" t="s">
        <v>20</v>
      </c>
      <c r="W60" s="2" t="s">
        <v>20</v>
      </c>
      <c r="X60" s="2" t="s">
        <v>20</v>
      </c>
      <c r="Y60" s="2" t="s">
        <v>33</v>
      </c>
      <c r="Z60" s="2" t="s">
        <v>33</v>
      </c>
      <c r="AA60" s="2" t="s">
        <v>33</v>
      </c>
      <c r="AB60" s="4" t="s">
        <v>25</v>
      </c>
      <c r="AC60" s="4" t="s">
        <v>25</v>
      </c>
      <c r="AD60" s="2" t="s">
        <v>20</v>
      </c>
      <c r="AE60" s="2" t="s">
        <v>20</v>
      </c>
      <c r="AF60" s="2" t="s">
        <v>33</v>
      </c>
      <c r="AG60" s="2" t="s">
        <v>33</v>
      </c>
      <c r="AH60" s="2" t="s">
        <v>33</v>
      </c>
      <c r="AI60" s="10">
        <f t="shared" si="5"/>
        <v>40</v>
      </c>
    </row>
    <row r="61" spans="2:37" x14ac:dyDescent="0.2">
      <c r="B61" t="s">
        <v>39</v>
      </c>
      <c r="C61" t="s">
        <v>35</v>
      </c>
      <c r="I61" s="2" t="s">
        <v>20</v>
      </c>
      <c r="J61" s="2" t="s">
        <v>20</v>
      </c>
      <c r="P61" s="2" t="s">
        <v>20</v>
      </c>
      <c r="Q61" s="2" t="s">
        <v>20</v>
      </c>
      <c r="W61" s="2" t="s">
        <v>20</v>
      </c>
      <c r="X61" s="2" t="s">
        <v>20</v>
      </c>
      <c r="Y61" s="2" t="s">
        <v>33</v>
      </c>
      <c r="Z61" s="2" t="s">
        <v>33</v>
      </c>
      <c r="AA61" s="2" t="s">
        <v>33</v>
      </c>
      <c r="AB61" s="4" t="s">
        <v>25</v>
      </c>
      <c r="AC61" s="4" t="s">
        <v>25</v>
      </c>
      <c r="AD61" s="2" t="s">
        <v>20</v>
      </c>
      <c r="AE61" s="2" t="s">
        <v>20</v>
      </c>
      <c r="AF61" s="2" t="s">
        <v>33</v>
      </c>
      <c r="AG61" s="2" t="s">
        <v>33</v>
      </c>
      <c r="AH61" s="2" t="s">
        <v>33</v>
      </c>
      <c r="AI61" s="10">
        <f t="shared" si="5"/>
        <v>0</v>
      </c>
    </row>
    <row r="62" spans="2:37" x14ac:dyDescent="0.2">
      <c r="C62" t="s">
        <v>7</v>
      </c>
      <c r="I62" s="2" t="s">
        <v>20</v>
      </c>
      <c r="J62" s="2" t="s">
        <v>20</v>
      </c>
      <c r="P62" s="2" t="s">
        <v>20</v>
      </c>
      <c r="Q62" s="2" t="s">
        <v>20</v>
      </c>
      <c r="W62" s="2" t="s">
        <v>20</v>
      </c>
      <c r="X62" s="2" t="s">
        <v>20</v>
      </c>
      <c r="Y62" s="2" t="s">
        <v>33</v>
      </c>
      <c r="Z62" s="2" t="s">
        <v>33</v>
      </c>
      <c r="AA62" s="2" t="s">
        <v>33</v>
      </c>
      <c r="AB62" s="4" t="s">
        <v>25</v>
      </c>
      <c r="AC62" s="4" t="s">
        <v>25</v>
      </c>
      <c r="AD62" s="2" t="s">
        <v>20</v>
      </c>
      <c r="AE62" s="2" t="s">
        <v>20</v>
      </c>
      <c r="AF62" s="2" t="s">
        <v>33</v>
      </c>
      <c r="AG62" s="2" t="s">
        <v>33</v>
      </c>
      <c r="AH62" s="2" t="s">
        <v>33</v>
      </c>
      <c r="AI62" s="10">
        <f t="shared" si="5"/>
        <v>0</v>
      </c>
    </row>
    <row r="63" spans="2:37" x14ac:dyDescent="0.2">
      <c r="B63" s="6">
        <v>184</v>
      </c>
      <c r="C63" t="s">
        <v>12</v>
      </c>
      <c r="D63">
        <v>8</v>
      </c>
      <c r="E63">
        <v>8</v>
      </c>
      <c r="F63">
        <v>8</v>
      </c>
      <c r="G63">
        <v>8</v>
      </c>
      <c r="H63">
        <v>8</v>
      </c>
      <c r="I63" s="2" t="s">
        <v>20</v>
      </c>
      <c r="J63" s="2" t="s">
        <v>20</v>
      </c>
      <c r="P63" s="2" t="s">
        <v>20</v>
      </c>
      <c r="Q63" s="2" t="s">
        <v>20</v>
      </c>
      <c r="W63" s="2" t="s">
        <v>20</v>
      </c>
      <c r="X63" s="2" t="s">
        <v>20</v>
      </c>
      <c r="Y63" s="2" t="s">
        <v>33</v>
      </c>
      <c r="Z63" s="2" t="s">
        <v>33</v>
      </c>
      <c r="AA63" s="2" t="s">
        <v>33</v>
      </c>
      <c r="AB63" s="4" t="s">
        <v>25</v>
      </c>
      <c r="AC63" s="4" t="s">
        <v>25</v>
      </c>
      <c r="AD63" s="2" t="s">
        <v>20</v>
      </c>
      <c r="AE63" s="2" t="s">
        <v>20</v>
      </c>
      <c r="AF63" s="2" t="s">
        <v>33</v>
      </c>
      <c r="AG63" s="2" t="s">
        <v>33</v>
      </c>
      <c r="AH63" s="2" t="s">
        <v>33</v>
      </c>
      <c r="AI63" s="10">
        <f t="shared" si="5"/>
        <v>40</v>
      </c>
    </row>
    <row r="64" spans="2:37" x14ac:dyDescent="0.2">
      <c r="C64" t="s">
        <v>9</v>
      </c>
      <c r="I64" s="2" t="s">
        <v>20</v>
      </c>
      <c r="J64" s="2" t="s">
        <v>20</v>
      </c>
      <c r="P64" s="2" t="s">
        <v>20</v>
      </c>
      <c r="Q64" s="2" t="s">
        <v>20</v>
      </c>
      <c r="W64" s="2" t="s">
        <v>20</v>
      </c>
      <c r="X64" s="2" t="s">
        <v>20</v>
      </c>
      <c r="Y64" s="2" t="s">
        <v>33</v>
      </c>
      <c r="Z64" s="2" t="s">
        <v>33</v>
      </c>
      <c r="AA64" s="2" t="s">
        <v>33</v>
      </c>
      <c r="AB64" s="4" t="s">
        <v>25</v>
      </c>
      <c r="AC64" s="4" t="s">
        <v>25</v>
      </c>
      <c r="AD64" s="2" t="s">
        <v>20</v>
      </c>
      <c r="AE64" s="2" t="s">
        <v>20</v>
      </c>
      <c r="AF64" s="2" t="s">
        <v>33</v>
      </c>
      <c r="AG64" s="2" t="s">
        <v>33</v>
      </c>
      <c r="AH64" s="2" t="s">
        <v>33</v>
      </c>
      <c r="AI64" s="10">
        <f t="shared" si="5"/>
        <v>0</v>
      </c>
    </row>
    <row r="65" spans="2:37" s="1" customFormat="1" x14ac:dyDescent="0.2">
      <c r="AI65" s="11">
        <f>SUM(AI56:AI64)</f>
        <v>120</v>
      </c>
      <c r="AK65" s="1">
        <f>SUM(AI65,AJ56:AK56)</f>
        <v>184</v>
      </c>
    </row>
    <row r="66" spans="2:37" x14ac:dyDescent="0.2">
      <c r="B66" t="s">
        <v>41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2B089-D610-4E10-874C-DBEEDC79EF55}">
  <dimension ref="A1:AK66"/>
  <sheetViews>
    <sheetView topLeftCell="A15" zoomScale="150" zoomScaleNormal="150" workbookViewId="0">
      <selection activeCell="W60" sqref="W60"/>
    </sheetView>
  </sheetViews>
  <sheetFormatPr baseColWidth="10" defaultRowHeight="15" x14ac:dyDescent="0.2"/>
  <cols>
    <col min="1" max="2" width="14.83203125" customWidth="1"/>
    <col min="3" max="3" width="18.1640625" customWidth="1"/>
    <col min="4" max="34" width="7.5" customWidth="1"/>
    <col min="35" max="35" width="15.33203125" style="10" customWidth="1"/>
    <col min="36" max="36" width="15.33203125" customWidth="1"/>
  </cols>
  <sheetData>
    <row r="1" spans="1:37" x14ac:dyDescent="0.2">
      <c r="A1" t="s">
        <v>3</v>
      </c>
      <c r="B1" s="8">
        <v>2025</v>
      </c>
      <c r="F1" t="s">
        <v>21</v>
      </c>
      <c r="AA1" s="12" t="s">
        <v>63</v>
      </c>
    </row>
    <row r="2" spans="1:37" x14ac:dyDescent="0.2">
      <c r="A2" t="s">
        <v>2</v>
      </c>
      <c r="B2" s="6" t="s">
        <v>17</v>
      </c>
      <c r="C2" s="7" t="s">
        <v>43</v>
      </c>
      <c r="F2" t="s">
        <v>22</v>
      </c>
      <c r="AA2" s="12" t="s">
        <v>64</v>
      </c>
    </row>
    <row r="3" spans="1:37" x14ac:dyDescent="0.2">
      <c r="F3" t="s">
        <v>23</v>
      </c>
    </row>
    <row r="4" spans="1:37" x14ac:dyDescent="0.2">
      <c r="F4" t="s">
        <v>24</v>
      </c>
    </row>
    <row r="5" spans="1:37" x14ac:dyDescent="0.2">
      <c r="F5" t="s">
        <v>26</v>
      </c>
    </row>
    <row r="7" spans="1:37" x14ac:dyDescent="0.2">
      <c r="D7" s="1" t="s">
        <v>4</v>
      </c>
    </row>
    <row r="8" spans="1:37" s="3" customFormat="1" x14ac:dyDescent="0.2">
      <c r="A8" s="3" t="s">
        <v>0</v>
      </c>
      <c r="B8" s="3" t="s">
        <v>0</v>
      </c>
      <c r="C8" s="3" t="s">
        <v>1</v>
      </c>
      <c r="D8" s="3">
        <v>1</v>
      </c>
      <c r="E8" s="3">
        <v>2</v>
      </c>
      <c r="F8" s="3">
        <v>3</v>
      </c>
      <c r="G8" s="3">
        <v>4</v>
      </c>
      <c r="H8" s="3">
        <v>5</v>
      </c>
      <c r="I8" s="3">
        <v>6</v>
      </c>
      <c r="J8" s="3">
        <v>7</v>
      </c>
      <c r="K8" s="3">
        <v>8</v>
      </c>
      <c r="L8" s="3">
        <v>9</v>
      </c>
      <c r="M8" s="3">
        <v>10</v>
      </c>
      <c r="N8" s="3">
        <v>11</v>
      </c>
      <c r="O8" s="3">
        <v>12</v>
      </c>
      <c r="P8" s="3">
        <v>13</v>
      </c>
      <c r="Q8" s="3">
        <v>14</v>
      </c>
      <c r="R8" s="3">
        <v>15</v>
      </c>
      <c r="S8" s="3">
        <v>16</v>
      </c>
      <c r="T8" s="3">
        <v>17</v>
      </c>
      <c r="U8" s="3">
        <v>18</v>
      </c>
      <c r="V8" s="3">
        <v>19</v>
      </c>
      <c r="W8" s="3">
        <v>20</v>
      </c>
      <c r="X8" s="3">
        <v>21</v>
      </c>
      <c r="Y8" s="3">
        <v>22</v>
      </c>
      <c r="Z8" s="3">
        <v>23</v>
      </c>
      <c r="AA8" s="3">
        <v>24</v>
      </c>
      <c r="AB8" s="3">
        <v>25</v>
      </c>
      <c r="AC8" s="3">
        <v>26</v>
      </c>
      <c r="AD8" s="3">
        <v>27</v>
      </c>
      <c r="AE8" s="3">
        <v>28</v>
      </c>
      <c r="AF8" s="3">
        <v>29</v>
      </c>
      <c r="AG8" s="3">
        <v>30</v>
      </c>
      <c r="AH8" s="3">
        <v>31</v>
      </c>
      <c r="AI8" s="11" t="s">
        <v>34</v>
      </c>
      <c r="AJ8" s="3" t="s">
        <v>36</v>
      </c>
      <c r="AK8" s="3" t="s">
        <v>37</v>
      </c>
    </row>
    <row r="9" spans="1:37" x14ac:dyDescent="0.2">
      <c r="B9" t="s">
        <v>41</v>
      </c>
      <c r="C9" t="s">
        <v>6</v>
      </c>
      <c r="D9" s="2"/>
      <c r="E9" s="2"/>
      <c r="F9" s="2"/>
      <c r="G9" s="2"/>
      <c r="H9" s="2" t="s">
        <v>20</v>
      </c>
      <c r="I9" s="2" t="s">
        <v>20</v>
      </c>
      <c r="J9" s="2"/>
      <c r="K9" s="2"/>
      <c r="L9" s="2"/>
      <c r="M9" s="2"/>
      <c r="N9" s="2"/>
      <c r="O9" s="2" t="s">
        <v>20</v>
      </c>
      <c r="P9" s="2" t="s">
        <v>20</v>
      </c>
      <c r="Q9" s="2"/>
      <c r="R9" s="2"/>
      <c r="S9" s="2"/>
      <c r="T9" s="2"/>
      <c r="U9" s="2"/>
      <c r="V9" s="2" t="s">
        <v>20</v>
      </c>
      <c r="W9" s="2" t="s">
        <v>20</v>
      </c>
      <c r="X9" s="2">
        <v>8</v>
      </c>
      <c r="Y9" s="2">
        <v>8</v>
      </c>
      <c r="Z9" s="2">
        <v>8</v>
      </c>
      <c r="AA9" s="2">
        <v>8</v>
      </c>
      <c r="AB9" s="2">
        <v>8</v>
      </c>
      <c r="AC9" s="2" t="s">
        <v>20</v>
      </c>
      <c r="AD9" s="2" t="s">
        <v>20</v>
      </c>
      <c r="AE9" s="2">
        <v>8</v>
      </c>
      <c r="AF9" s="2">
        <v>8</v>
      </c>
      <c r="AG9" s="2">
        <v>8</v>
      </c>
      <c r="AH9" s="2">
        <v>8</v>
      </c>
      <c r="AI9" s="10">
        <f t="shared" ref="AI9:AI16" si="0">SUM(D9:G9,J9:N9,Q9:U9,X9:AB9,AE9:AH9)</f>
        <v>72</v>
      </c>
      <c r="AJ9">
        <v>0</v>
      </c>
      <c r="AK9">
        <v>0</v>
      </c>
    </row>
    <row r="10" spans="1:37" x14ac:dyDescent="0.2">
      <c r="C10" t="s">
        <v>10</v>
      </c>
      <c r="D10" s="2"/>
      <c r="E10" s="2"/>
      <c r="F10" s="2"/>
      <c r="G10" s="2"/>
      <c r="H10" s="2" t="s">
        <v>20</v>
      </c>
      <c r="I10" s="2" t="s">
        <v>20</v>
      </c>
      <c r="J10" s="2"/>
      <c r="K10" s="2"/>
      <c r="L10" s="2"/>
      <c r="M10" s="2"/>
      <c r="N10" s="2"/>
      <c r="O10" s="2" t="s">
        <v>20</v>
      </c>
      <c r="P10" s="2" t="s">
        <v>20</v>
      </c>
      <c r="Q10" s="2"/>
      <c r="R10" s="2"/>
      <c r="S10" s="2"/>
      <c r="T10" s="2"/>
      <c r="U10" s="2"/>
      <c r="V10" s="2" t="s">
        <v>20</v>
      </c>
      <c r="W10" s="2" t="s">
        <v>20</v>
      </c>
      <c r="X10" s="2"/>
      <c r="Y10" s="2"/>
      <c r="Z10" s="2"/>
      <c r="AA10" s="2"/>
      <c r="AB10" s="2"/>
      <c r="AC10" s="2" t="s">
        <v>20</v>
      </c>
      <c r="AD10" s="2" t="s">
        <v>20</v>
      </c>
      <c r="AE10" s="2"/>
      <c r="AF10" s="2"/>
      <c r="AG10" s="2"/>
      <c r="AH10" s="2"/>
      <c r="AI10" s="10">
        <f t="shared" si="0"/>
        <v>0</v>
      </c>
    </row>
    <row r="11" spans="1:37" x14ac:dyDescent="0.2">
      <c r="B11" t="s">
        <v>42</v>
      </c>
      <c r="C11" t="s">
        <v>8</v>
      </c>
      <c r="D11" s="2"/>
      <c r="E11" s="2"/>
      <c r="F11" s="2"/>
      <c r="G11" s="2"/>
      <c r="H11" s="2" t="s">
        <v>20</v>
      </c>
      <c r="I11" s="2" t="s">
        <v>20</v>
      </c>
      <c r="J11" s="2"/>
      <c r="K11" s="2"/>
      <c r="L11" s="2"/>
      <c r="M11" s="2"/>
      <c r="N11" s="2"/>
      <c r="O11" s="2" t="s">
        <v>20</v>
      </c>
      <c r="P11" s="2" t="s">
        <v>20</v>
      </c>
      <c r="Q11" s="2"/>
      <c r="R11" s="2"/>
      <c r="S11" s="2"/>
      <c r="T11" s="2"/>
      <c r="U11" s="2"/>
      <c r="V11" s="2" t="s">
        <v>20</v>
      </c>
      <c r="W11" s="2" t="s">
        <v>20</v>
      </c>
      <c r="X11" s="2"/>
      <c r="Y11" s="2"/>
      <c r="Z11" s="2"/>
      <c r="AA11" s="2"/>
      <c r="AB11" s="2"/>
      <c r="AC11" s="2" t="s">
        <v>20</v>
      </c>
      <c r="AD11" s="2" t="s">
        <v>20</v>
      </c>
      <c r="AE11" s="2"/>
      <c r="AF11" s="2"/>
      <c r="AG11" s="2"/>
      <c r="AH11" s="2"/>
      <c r="AI11" s="10">
        <f t="shared" si="0"/>
        <v>0</v>
      </c>
    </row>
    <row r="12" spans="1:37" x14ac:dyDescent="0.2">
      <c r="C12" t="s">
        <v>13</v>
      </c>
      <c r="D12" s="2"/>
      <c r="E12" s="2"/>
      <c r="F12" s="2"/>
      <c r="G12" s="2"/>
      <c r="H12" s="2" t="s">
        <v>20</v>
      </c>
      <c r="I12" s="2" t="s">
        <v>20</v>
      </c>
      <c r="J12" s="2"/>
      <c r="K12" s="2"/>
      <c r="L12" s="2"/>
      <c r="M12" s="2"/>
      <c r="N12" s="2"/>
      <c r="O12" s="2" t="s">
        <v>20</v>
      </c>
      <c r="P12" s="2" t="s">
        <v>20</v>
      </c>
      <c r="Q12" s="2"/>
      <c r="R12" s="2"/>
      <c r="S12" s="2"/>
      <c r="T12" s="2"/>
      <c r="U12" s="2"/>
      <c r="V12" s="2" t="s">
        <v>20</v>
      </c>
      <c r="W12" s="2" t="s">
        <v>20</v>
      </c>
      <c r="X12" s="2"/>
      <c r="Y12" s="2"/>
      <c r="Z12" s="2"/>
      <c r="AA12" s="2"/>
      <c r="AB12" s="2"/>
      <c r="AC12" s="2" t="s">
        <v>20</v>
      </c>
      <c r="AD12" s="2" t="s">
        <v>20</v>
      </c>
      <c r="AE12" s="2"/>
      <c r="AF12" s="2"/>
      <c r="AG12" s="2"/>
      <c r="AH12" s="2"/>
      <c r="AI12" s="10">
        <f t="shared" si="0"/>
        <v>0</v>
      </c>
    </row>
    <row r="13" spans="1:37" x14ac:dyDescent="0.2">
      <c r="B13" s="6">
        <v>184</v>
      </c>
      <c r="C13" t="s">
        <v>11</v>
      </c>
      <c r="D13" s="2" t="s">
        <v>33</v>
      </c>
      <c r="E13" s="2" t="s">
        <v>33</v>
      </c>
      <c r="F13" s="2" t="s">
        <v>33</v>
      </c>
      <c r="G13" s="2" t="s">
        <v>33</v>
      </c>
      <c r="H13" s="2" t="s">
        <v>20</v>
      </c>
      <c r="I13" s="2" t="s">
        <v>20</v>
      </c>
      <c r="J13" s="2">
        <v>8</v>
      </c>
      <c r="K13" s="2">
        <v>8</v>
      </c>
      <c r="L13" s="2">
        <v>8</v>
      </c>
      <c r="M13" s="2">
        <v>8</v>
      </c>
      <c r="N13" s="2">
        <v>8</v>
      </c>
      <c r="O13" s="2" t="s">
        <v>20</v>
      </c>
      <c r="P13" s="2" t="s">
        <v>20</v>
      </c>
      <c r="Q13" s="2">
        <v>8</v>
      </c>
      <c r="R13" s="2" t="s">
        <v>49</v>
      </c>
      <c r="S13" s="2" t="s">
        <v>49</v>
      </c>
      <c r="T13" s="2">
        <v>8</v>
      </c>
      <c r="U13" s="2">
        <v>8</v>
      </c>
      <c r="V13" s="2" t="s">
        <v>20</v>
      </c>
      <c r="W13" s="2" t="s">
        <v>20</v>
      </c>
      <c r="X13" s="2"/>
      <c r="Y13" s="2"/>
      <c r="Z13" s="2"/>
      <c r="AA13" s="2"/>
      <c r="AB13" s="2"/>
      <c r="AC13" s="2" t="s">
        <v>20</v>
      </c>
      <c r="AD13" s="2" t="s">
        <v>20</v>
      </c>
      <c r="AE13" s="2"/>
      <c r="AF13" s="2"/>
      <c r="AG13" s="2"/>
      <c r="AH13" s="2"/>
      <c r="AI13" s="10">
        <f t="shared" si="0"/>
        <v>64</v>
      </c>
    </row>
    <row r="14" spans="1:37" x14ac:dyDescent="0.2">
      <c r="C14" t="s">
        <v>7</v>
      </c>
      <c r="D14" s="2"/>
      <c r="E14" s="2"/>
      <c r="F14" s="2"/>
      <c r="G14" s="2"/>
      <c r="H14" s="2" t="s">
        <v>20</v>
      </c>
      <c r="I14" s="2" t="s">
        <v>20</v>
      </c>
      <c r="J14" s="2"/>
      <c r="K14" s="2"/>
      <c r="L14" s="2"/>
      <c r="M14" s="2"/>
      <c r="N14" s="2"/>
      <c r="O14" s="2" t="s">
        <v>20</v>
      </c>
      <c r="P14" s="2" t="s">
        <v>20</v>
      </c>
      <c r="Q14" s="2"/>
      <c r="R14" s="2"/>
      <c r="S14" s="2"/>
      <c r="T14" s="2"/>
      <c r="U14" s="2"/>
      <c r="V14" s="2" t="s">
        <v>20</v>
      </c>
      <c r="W14" s="2" t="s">
        <v>20</v>
      </c>
      <c r="X14" s="2"/>
      <c r="Y14" s="2"/>
      <c r="Z14" s="2"/>
      <c r="AA14" s="2"/>
      <c r="AB14" s="2"/>
      <c r="AC14" s="2" t="s">
        <v>20</v>
      </c>
      <c r="AD14" s="2" t="s">
        <v>20</v>
      </c>
      <c r="AE14" s="2"/>
      <c r="AF14" s="2"/>
      <c r="AG14" s="2"/>
      <c r="AH14" s="2"/>
      <c r="AI14" s="10">
        <f t="shared" si="0"/>
        <v>0</v>
      </c>
    </row>
    <row r="15" spans="1:37" x14ac:dyDescent="0.2">
      <c r="C15" t="s">
        <v>12</v>
      </c>
      <c r="D15" s="2"/>
      <c r="E15" s="2"/>
      <c r="F15" s="2"/>
      <c r="G15" s="2"/>
      <c r="H15" s="2" t="s">
        <v>20</v>
      </c>
      <c r="I15" s="2" t="s">
        <v>20</v>
      </c>
      <c r="J15" s="2"/>
      <c r="K15" s="2"/>
      <c r="L15" s="2"/>
      <c r="M15" s="2"/>
      <c r="N15" s="2"/>
      <c r="O15" s="2" t="s">
        <v>20</v>
      </c>
      <c r="P15" s="2" t="s">
        <v>20</v>
      </c>
      <c r="Q15" s="2"/>
      <c r="R15" s="2"/>
      <c r="S15" s="2"/>
      <c r="T15" s="2"/>
      <c r="U15" s="2"/>
      <c r="V15" s="2" t="s">
        <v>20</v>
      </c>
      <c r="W15" s="2" t="s">
        <v>20</v>
      </c>
      <c r="X15" s="2"/>
      <c r="Y15" s="2"/>
      <c r="Z15" s="2"/>
      <c r="AA15" s="2"/>
      <c r="AB15" s="2"/>
      <c r="AC15" s="2" t="s">
        <v>20</v>
      </c>
      <c r="AD15" s="2" t="s">
        <v>20</v>
      </c>
      <c r="AE15" s="2"/>
      <c r="AF15" s="2"/>
      <c r="AG15" s="2"/>
      <c r="AH15" s="2"/>
      <c r="AI15" s="10">
        <f t="shared" si="0"/>
        <v>0</v>
      </c>
    </row>
    <row r="16" spans="1:37" x14ac:dyDescent="0.2">
      <c r="C16" t="s">
        <v>9</v>
      </c>
      <c r="D16" s="2"/>
      <c r="E16" s="2"/>
      <c r="F16" s="2"/>
      <c r="G16" s="2"/>
      <c r="H16" s="2" t="s">
        <v>20</v>
      </c>
      <c r="I16" s="2" t="s">
        <v>20</v>
      </c>
      <c r="J16" s="2"/>
      <c r="K16" s="2"/>
      <c r="L16" s="2"/>
      <c r="M16" s="2"/>
      <c r="N16" s="2"/>
      <c r="O16" s="2" t="s">
        <v>20</v>
      </c>
      <c r="P16" s="2" t="s">
        <v>20</v>
      </c>
      <c r="Q16" s="2"/>
      <c r="R16" s="2"/>
      <c r="S16" s="2"/>
      <c r="T16" s="2"/>
      <c r="U16" s="2"/>
      <c r="V16" s="2" t="s">
        <v>20</v>
      </c>
      <c r="W16" s="2" t="s">
        <v>20</v>
      </c>
      <c r="X16" s="2"/>
      <c r="Y16" s="2"/>
      <c r="Z16" s="2"/>
      <c r="AA16" s="2"/>
      <c r="AB16" s="2"/>
      <c r="AC16" s="2" t="s">
        <v>20</v>
      </c>
      <c r="AD16" s="2" t="s">
        <v>20</v>
      </c>
      <c r="AE16" s="2"/>
      <c r="AF16" s="2"/>
      <c r="AG16" s="2"/>
      <c r="AH16" s="2"/>
      <c r="AI16" s="10">
        <f t="shared" si="0"/>
        <v>0</v>
      </c>
    </row>
    <row r="17" spans="2:37" s="3" customFormat="1" x14ac:dyDescent="0.2">
      <c r="AI17" s="11">
        <f>SUM(AI9:AI16)</f>
        <v>136</v>
      </c>
      <c r="AK17" s="3">
        <f>SUM(AI17,AJ9:AK9)</f>
        <v>136</v>
      </c>
    </row>
    <row r="18" spans="2:37" x14ac:dyDescent="0.2">
      <c r="B18" t="s">
        <v>5</v>
      </c>
      <c r="C18" t="s">
        <v>6</v>
      </c>
      <c r="D18">
        <v>8</v>
      </c>
      <c r="E18" s="2" t="s">
        <v>20</v>
      </c>
      <c r="F18" s="2" t="s">
        <v>20</v>
      </c>
      <c r="G18">
        <v>8</v>
      </c>
      <c r="H18">
        <v>8</v>
      </c>
      <c r="I18">
        <v>8</v>
      </c>
      <c r="J18">
        <v>8</v>
      </c>
      <c r="K18">
        <v>8</v>
      </c>
      <c r="L18" s="2" t="s">
        <v>20</v>
      </c>
      <c r="M18" s="2" t="s">
        <v>20</v>
      </c>
      <c r="N18">
        <v>8</v>
      </c>
      <c r="O18">
        <v>8</v>
      </c>
      <c r="P18">
        <v>8</v>
      </c>
      <c r="Q18">
        <v>8</v>
      </c>
      <c r="R18">
        <v>8</v>
      </c>
      <c r="S18" s="2" t="s">
        <v>20</v>
      </c>
      <c r="T18" s="2" t="s">
        <v>20</v>
      </c>
      <c r="U18">
        <v>8</v>
      </c>
      <c r="V18">
        <v>8</v>
      </c>
      <c r="W18">
        <v>8</v>
      </c>
      <c r="X18">
        <v>8</v>
      </c>
      <c r="Y18">
        <v>8</v>
      </c>
      <c r="Z18" s="2" t="s">
        <v>20</v>
      </c>
      <c r="AA18" s="2" t="s">
        <v>20</v>
      </c>
      <c r="AB18">
        <v>8</v>
      </c>
      <c r="AC18">
        <v>4</v>
      </c>
      <c r="AG18" s="2" t="s">
        <v>20</v>
      </c>
      <c r="AH18" s="2" t="s">
        <v>20</v>
      </c>
      <c r="AI18" s="10">
        <f>SUM(D18,G18:K18,N18:R18,U18:Y18,AB18:AF18)</f>
        <v>140</v>
      </c>
      <c r="AJ18">
        <v>0</v>
      </c>
      <c r="AK18">
        <v>0</v>
      </c>
    </row>
    <row r="19" spans="2:37" x14ac:dyDescent="0.2">
      <c r="C19" t="s">
        <v>10</v>
      </c>
      <c r="E19" s="2" t="s">
        <v>20</v>
      </c>
      <c r="F19" s="2" t="s">
        <v>20</v>
      </c>
      <c r="L19" s="2" t="s">
        <v>20</v>
      </c>
      <c r="M19" s="2" t="s">
        <v>20</v>
      </c>
      <c r="S19" s="2" t="s">
        <v>20</v>
      </c>
      <c r="T19" s="2" t="s">
        <v>20</v>
      </c>
      <c r="Z19" s="2" t="s">
        <v>20</v>
      </c>
      <c r="AA19" s="2" t="s">
        <v>20</v>
      </c>
      <c r="AC19">
        <v>4</v>
      </c>
      <c r="AD19">
        <v>8</v>
      </c>
      <c r="AE19">
        <v>8</v>
      </c>
      <c r="AF19">
        <v>8</v>
      </c>
      <c r="AG19" s="2" t="s">
        <v>20</v>
      </c>
      <c r="AH19" s="2" t="s">
        <v>20</v>
      </c>
      <c r="AI19" s="10">
        <f t="shared" ref="AI19:AI25" si="1">SUM(D19,G19:K19,N19:R19,U19:Y19,AB19:AF19)</f>
        <v>28</v>
      </c>
    </row>
    <row r="20" spans="2:37" x14ac:dyDescent="0.2">
      <c r="B20" t="s">
        <v>28</v>
      </c>
      <c r="C20" t="s">
        <v>8</v>
      </c>
      <c r="E20" s="2" t="s">
        <v>20</v>
      </c>
      <c r="F20" s="2" t="s">
        <v>20</v>
      </c>
      <c r="L20" s="2" t="s">
        <v>20</v>
      </c>
      <c r="M20" s="2" t="s">
        <v>20</v>
      </c>
      <c r="S20" s="2" t="s">
        <v>20</v>
      </c>
      <c r="T20" s="2" t="s">
        <v>20</v>
      </c>
      <c r="Z20" s="2" t="s">
        <v>20</v>
      </c>
      <c r="AA20" s="2" t="s">
        <v>20</v>
      </c>
      <c r="AG20" s="2" t="s">
        <v>20</v>
      </c>
      <c r="AH20" s="2" t="s">
        <v>20</v>
      </c>
      <c r="AI20" s="10">
        <f t="shared" si="1"/>
        <v>0</v>
      </c>
    </row>
    <row r="21" spans="2:37" x14ac:dyDescent="0.2">
      <c r="C21" t="s">
        <v>13</v>
      </c>
      <c r="E21" s="2" t="s">
        <v>20</v>
      </c>
      <c r="F21" s="2" t="s">
        <v>20</v>
      </c>
      <c r="L21" s="2" t="s">
        <v>20</v>
      </c>
      <c r="M21" s="2" t="s">
        <v>20</v>
      </c>
      <c r="S21" s="2" t="s">
        <v>20</v>
      </c>
      <c r="T21" s="2" t="s">
        <v>20</v>
      </c>
      <c r="Z21" s="2" t="s">
        <v>20</v>
      </c>
      <c r="AA21" s="2" t="s">
        <v>20</v>
      </c>
      <c r="AG21" s="2" t="s">
        <v>20</v>
      </c>
      <c r="AH21" s="2" t="s">
        <v>20</v>
      </c>
      <c r="AI21" s="10">
        <f t="shared" si="1"/>
        <v>0</v>
      </c>
    </row>
    <row r="22" spans="2:37" x14ac:dyDescent="0.2">
      <c r="B22" s="6">
        <v>168</v>
      </c>
      <c r="C22" t="s">
        <v>11</v>
      </c>
      <c r="E22" s="2" t="s">
        <v>20</v>
      </c>
      <c r="F22" s="2" t="s">
        <v>20</v>
      </c>
      <c r="L22" s="2" t="s">
        <v>20</v>
      </c>
      <c r="M22" s="2" t="s">
        <v>20</v>
      </c>
      <c r="S22" s="2" t="s">
        <v>20</v>
      </c>
      <c r="T22" s="2" t="s">
        <v>20</v>
      </c>
      <c r="Z22" s="2" t="s">
        <v>20</v>
      </c>
      <c r="AA22" s="2" t="s">
        <v>20</v>
      </c>
      <c r="AG22" s="2" t="s">
        <v>20</v>
      </c>
      <c r="AH22" s="2" t="s">
        <v>20</v>
      </c>
      <c r="AI22" s="10">
        <f t="shared" si="1"/>
        <v>0</v>
      </c>
    </row>
    <row r="23" spans="2:37" x14ac:dyDescent="0.2">
      <c r="C23" t="s">
        <v>7</v>
      </c>
      <c r="E23" s="2" t="s">
        <v>20</v>
      </c>
      <c r="F23" s="2" t="s">
        <v>20</v>
      </c>
      <c r="L23" s="2" t="s">
        <v>20</v>
      </c>
      <c r="M23" s="2" t="s">
        <v>20</v>
      </c>
      <c r="S23" s="2" t="s">
        <v>20</v>
      </c>
      <c r="T23" s="2" t="s">
        <v>20</v>
      </c>
      <c r="Z23" s="2" t="s">
        <v>20</v>
      </c>
      <c r="AA23" s="2" t="s">
        <v>20</v>
      </c>
      <c r="AG23" s="2" t="s">
        <v>20</v>
      </c>
      <c r="AH23" s="2" t="s">
        <v>20</v>
      </c>
      <c r="AI23" s="10">
        <f t="shared" si="1"/>
        <v>0</v>
      </c>
    </row>
    <row r="24" spans="2:37" x14ac:dyDescent="0.2">
      <c r="C24" t="s">
        <v>12</v>
      </c>
      <c r="E24" s="2" t="s">
        <v>20</v>
      </c>
      <c r="F24" s="2" t="s">
        <v>20</v>
      </c>
      <c r="L24" s="2" t="s">
        <v>20</v>
      </c>
      <c r="M24" s="2" t="s">
        <v>20</v>
      </c>
      <c r="S24" s="2" t="s">
        <v>20</v>
      </c>
      <c r="T24" s="2" t="s">
        <v>20</v>
      </c>
      <c r="Z24" s="2" t="s">
        <v>20</v>
      </c>
      <c r="AA24" s="2" t="s">
        <v>20</v>
      </c>
      <c r="AG24" s="2" t="s">
        <v>20</v>
      </c>
      <c r="AH24" s="2" t="s">
        <v>20</v>
      </c>
      <c r="AI24" s="10">
        <f t="shared" si="1"/>
        <v>0</v>
      </c>
    </row>
    <row r="25" spans="2:37" x14ac:dyDescent="0.2">
      <c r="C25" t="s">
        <v>9</v>
      </c>
      <c r="E25" s="2" t="s">
        <v>20</v>
      </c>
      <c r="F25" s="2" t="s">
        <v>20</v>
      </c>
      <c r="L25" s="2" t="s">
        <v>20</v>
      </c>
      <c r="M25" s="2" t="s">
        <v>20</v>
      </c>
      <c r="S25" s="2" t="s">
        <v>20</v>
      </c>
      <c r="T25" s="2" t="s">
        <v>20</v>
      </c>
      <c r="Z25" s="2" t="s">
        <v>20</v>
      </c>
      <c r="AA25" s="2" t="s">
        <v>20</v>
      </c>
      <c r="AG25" s="2" t="s">
        <v>20</v>
      </c>
      <c r="AH25" s="2" t="s">
        <v>20</v>
      </c>
      <c r="AI25" s="10">
        <f t="shared" si="1"/>
        <v>0</v>
      </c>
    </row>
    <row r="26" spans="2:37" s="1" customFormat="1" x14ac:dyDescent="0.2">
      <c r="AI26" s="11">
        <f>SUM(AI18:AI25)</f>
        <v>168</v>
      </c>
      <c r="AK26" s="1">
        <f>SUM(AI26,AJ18:AK18)</f>
        <v>168</v>
      </c>
    </row>
    <row r="27" spans="2:37" x14ac:dyDescent="0.2">
      <c r="B27" t="s">
        <v>14</v>
      </c>
      <c r="C27" t="s">
        <v>6</v>
      </c>
      <c r="I27" s="2" t="s">
        <v>20</v>
      </c>
      <c r="J27" s="2" t="s">
        <v>20</v>
      </c>
      <c r="K27" t="s">
        <v>33</v>
      </c>
      <c r="L27" t="s">
        <v>33</v>
      </c>
      <c r="M27" t="s">
        <v>33</v>
      </c>
      <c r="N27" t="s">
        <v>33</v>
      </c>
      <c r="O27" t="s">
        <v>33</v>
      </c>
      <c r="P27" s="2" t="s">
        <v>20</v>
      </c>
      <c r="Q27" s="2" t="s">
        <v>20</v>
      </c>
      <c r="W27" s="2" t="s">
        <v>20</v>
      </c>
      <c r="X27" s="2" t="s">
        <v>20</v>
      </c>
      <c r="AD27" s="2" t="s">
        <v>20</v>
      </c>
      <c r="AE27" s="2" t="s">
        <v>20</v>
      </c>
      <c r="AG27" s="2"/>
      <c r="AH27" s="9"/>
      <c r="AI27" s="10">
        <f>SUM(D27:H27,K27:O27,R27:V27,Y27:AC27,AF27:AG27)</f>
        <v>0</v>
      </c>
      <c r="AJ27">
        <v>40</v>
      </c>
      <c r="AK27">
        <v>0</v>
      </c>
    </row>
    <row r="28" spans="2:37" x14ac:dyDescent="0.2">
      <c r="C28" t="s">
        <v>10</v>
      </c>
      <c r="I28" s="2" t="s">
        <v>20</v>
      </c>
      <c r="J28" s="2" t="s">
        <v>20</v>
      </c>
      <c r="K28" t="s">
        <v>33</v>
      </c>
      <c r="L28" t="s">
        <v>33</v>
      </c>
      <c r="M28" t="s">
        <v>33</v>
      </c>
      <c r="N28" t="s">
        <v>33</v>
      </c>
      <c r="O28" t="s">
        <v>33</v>
      </c>
      <c r="P28" s="2" t="s">
        <v>20</v>
      </c>
      <c r="Q28" s="2" t="s">
        <v>20</v>
      </c>
      <c r="W28" s="2" t="s">
        <v>20</v>
      </c>
      <c r="X28" s="2" t="s">
        <v>20</v>
      </c>
      <c r="AD28" s="2" t="s">
        <v>20</v>
      </c>
      <c r="AE28" s="2" t="s">
        <v>20</v>
      </c>
      <c r="AH28" s="9"/>
      <c r="AI28" s="10">
        <f t="shared" ref="AI28:AI34" si="2">SUM(D28:H28,K28:O28,R28:V28,Y28:AC28,AF28:AG28)</f>
        <v>0</v>
      </c>
    </row>
    <row r="29" spans="2:37" x14ac:dyDescent="0.2">
      <c r="B29" t="s">
        <v>29</v>
      </c>
      <c r="C29" t="s">
        <v>8</v>
      </c>
      <c r="I29" s="2" t="s">
        <v>20</v>
      </c>
      <c r="J29" s="2" t="s">
        <v>20</v>
      </c>
      <c r="K29" t="s">
        <v>33</v>
      </c>
      <c r="L29" t="s">
        <v>33</v>
      </c>
      <c r="M29" t="s">
        <v>33</v>
      </c>
      <c r="N29" t="s">
        <v>33</v>
      </c>
      <c r="O29" t="s">
        <v>33</v>
      </c>
      <c r="P29" s="2" t="s">
        <v>20</v>
      </c>
      <c r="Q29" s="2" t="s">
        <v>20</v>
      </c>
      <c r="W29" s="2" t="s">
        <v>20</v>
      </c>
      <c r="X29" s="2" t="s">
        <v>20</v>
      </c>
      <c r="AD29" s="2" t="s">
        <v>20</v>
      </c>
      <c r="AE29" s="2" t="s">
        <v>20</v>
      </c>
      <c r="AH29" s="9"/>
      <c r="AI29" s="10">
        <f t="shared" si="2"/>
        <v>0</v>
      </c>
    </row>
    <row r="30" spans="2:37" x14ac:dyDescent="0.2">
      <c r="C30" t="s">
        <v>13</v>
      </c>
      <c r="I30" s="2" t="s">
        <v>20</v>
      </c>
      <c r="J30" s="2" t="s">
        <v>20</v>
      </c>
      <c r="K30" t="s">
        <v>33</v>
      </c>
      <c r="L30" t="s">
        <v>33</v>
      </c>
      <c r="M30" t="s">
        <v>33</v>
      </c>
      <c r="N30" t="s">
        <v>33</v>
      </c>
      <c r="O30" t="s">
        <v>33</v>
      </c>
      <c r="P30" s="2" t="s">
        <v>20</v>
      </c>
      <c r="Q30" s="2" t="s">
        <v>20</v>
      </c>
      <c r="W30" s="2" t="s">
        <v>20</v>
      </c>
      <c r="X30" s="2" t="s">
        <v>20</v>
      </c>
      <c r="Y30">
        <v>8</v>
      </c>
      <c r="Z30">
        <v>8</v>
      </c>
      <c r="AA30">
        <v>8</v>
      </c>
      <c r="AB30">
        <v>8</v>
      </c>
      <c r="AC30">
        <v>8</v>
      </c>
      <c r="AD30" s="2" t="s">
        <v>20</v>
      </c>
      <c r="AE30" s="2" t="s">
        <v>20</v>
      </c>
      <c r="AH30" s="9"/>
      <c r="AI30" s="10">
        <f t="shared" si="2"/>
        <v>40</v>
      </c>
    </row>
    <row r="31" spans="2:37" x14ac:dyDescent="0.2">
      <c r="B31" s="6">
        <v>176</v>
      </c>
      <c r="C31" t="s">
        <v>11</v>
      </c>
      <c r="D31">
        <v>8</v>
      </c>
      <c r="E31">
        <v>8</v>
      </c>
      <c r="F31">
        <v>8</v>
      </c>
      <c r="G31">
        <v>8</v>
      </c>
      <c r="H31">
        <v>8</v>
      </c>
      <c r="I31" s="2" t="s">
        <v>20</v>
      </c>
      <c r="J31" s="2" t="s">
        <v>20</v>
      </c>
      <c r="K31" t="s">
        <v>33</v>
      </c>
      <c r="L31" t="s">
        <v>33</v>
      </c>
      <c r="M31" t="s">
        <v>33</v>
      </c>
      <c r="N31" t="s">
        <v>33</v>
      </c>
      <c r="O31" t="s">
        <v>33</v>
      </c>
      <c r="P31" s="2" t="s">
        <v>20</v>
      </c>
      <c r="Q31" s="2" t="s">
        <v>20</v>
      </c>
      <c r="R31">
        <v>8</v>
      </c>
      <c r="S31">
        <v>8</v>
      </c>
      <c r="T31">
        <v>8</v>
      </c>
      <c r="U31">
        <v>8</v>
      </c>
      <c r="V31">
        <v>8</v>
      </c>
      <c r="W31" s="2" t="s">
        <v>20</v>
      </c>
      <c r="X31" s="2" t="s">
        <v>20</v>
      </c>
      <c r="AD31" s="2" t="s">
        <v>20</v>
      </c>
      <c r="AE31" s="2" t="s">
        <v>20</v>
      </c>
      <c r="AH31" s="9"/>
      <c r="AI31" s="10">
        <f t="shared" si="2"/>
        <v>80</v>
      </c>
    </row>
    <row r="32" spans="2:37" x14ac:dyDescent="0.2">
      <c r="C32" t="s">
        <v>7</v>
      </c>
      <c r="I32" s="2" t="s">
        <v>20</v>
      </c>
      <c r="J32" s="2" t="s">
        <v>20</v>
      </c>
      <c r="K32" t="s">
        <v>33</v>
      </c>
      <c r="L32" t="s">
        <v>33</v>
      </c>
      <c r="M32" t="s">
        <v>33</v>
      </c>
      <c r="N32" t="s">
        <v>33</v>
      </c>
      <c r="O32" t="s">
        <v>33</v>
      </c>
      <c r="P32" s="2" t="s">
        <v>20</v>
      </c>
      <c r="Q32" s="2" t="s">
        <v>20</v>
      </c>
      <c r="W32" s="2" t="s">
        <v>20</v>
      </c>
      <c r="X32" s="2" t="s">
        <v>20</v>
      </c>
      <c r="AD32" s="2" t="s">
        <v>20</v>
      </c>
      <c r="AE32" s="2" t="s">
        <v>20</v>
      </c>
      <c r="AH32" s="9"/>
      <c r="AI32" s="10">
        <f t="shared" si="2"/>
        <v>0</v>
      </c>
    </row>
    <row r="33" spans="2:37" x14ac:dyDescent="0.2">
      <c r="C33" t="s">
        <v>12</v>
      </c>
      <c r="I33" s="2" t="s">
        <v>20</v>
      </c>
      <c r="J33" s="2" t="s">
        <v>20</v>
      </c>
      <c r="K33" t="s">
        <v>33</v>
      </c>
      <c r="L33" t="s">
        <v>33</v>
      </c>
      <c r="M33" t="s">
        <v>33</v>
      </c>
      <c r="N33" t="s">
        <v>33</v>
      </c>
      <c r="O33" t="s">
        <v>33</v>
      </c>
      <c r="P33" s="2" t="s">
        <v>20</v>
      </c>
      <c r="Q33" s="2" t="s">
        <v>20</v>
      </c>
      <c r="W33" s="2" t="s">
        <v>20</v>
      </c>
      <c r="X33" s="2" t="s">
        <v>20</v>
      </c>
      <c r="AD33" s="2" t="s">
        <v>20</v>
      </c>
      <c r="AE33" s="2" t="s">
        <v>20</v>
      </c>
      <c r="AH33" s="9"/>
      <c r="AI33" s="10">
        <f t="shared" si="2"/>
        <v>0</v>
      </c>
    </row>
    <row r="34" spans="2:37" x14ac:dyDescent="0.2">
      <c r="C34" t="s">
        <v>9</v>
      </c>
      <c r="I34" s="2" t="s">
        <v>20</v>
      </c>
      <c r="J34" s="2" t="s">
        <v>20</v>
      </c>
      <c r="K34" t="s">
        <v>33</v>
      </c>
      <c r="L34" t="s">
        <v>33</v>
      </c>
      <c r="M34" t="s">
        <v>33</v>
      </c>
      <c r="N34" t="s">
        <v>33</v>
      </c>
      <c r="O34" t="s">
        <v>33</v>
      </c>
      <c r="P34" s="2" t="s">
        <v>20</v>
      </c>
      <c r="Q34" s="2" t="s">
        <v>20</v>
      </c>
      <c r="W34" s="2" t="s">
        <v>20</v>
      </c>
      <c r="X34" s="2" t="s">
        <v>20</v>
      </c>
      <c r="AD34" s="2" t="s">
        <v>20</v>
      </c>
      <c r="AE34" s="2" t="s">
        <v>20</v>
      </c>
      <c r="AH34" s="9"/>
      <c r="AI34" s="10">
        <f t="shared" si="2"/>
        <v>0</v>
      </c>
    </row>
    <row r="35" spans="2:37" s="1" customFormat="1" x14ac:dyDescent="0.2">
      <c r="AI35" s="11">
        <f>SUM(AI27:AI34)</f>
        <v>120</v>
      </c>
      <c r="AK35" s="1">
        <f>SUM(AI35,AJ27:AK27)</f>
        <v>160</v>
      </c>
    </row>
    <row r="36" spans="2:37" x14ac:dyDescent="0.2">
      <c r="B36" t="s">
        <v>15</v>
      </c>
      <c r="C36" t="s">
        <v>16</v>
      </c>
      <c r="F36" s="4" t="s">
        <v>25</v>
      </c>
      <c r="G36" s="2" t="s">
        <v>20</v>
      </c>
      <c r="H36" s="2" t="s">
        <v>20</v>
      </c>
      <c r="N36" s="2" t="s">
        <v>20</v>
      </c>
      <c r="O36" s="2" t="s">
        <v>20</v>
      </c>
      <c r="U36" s="2" t="s">
        <v>20</v>
      </c>
      <c r="V36" s="2" t="s">
        <v>20</v>
      </c>
      <c r="AB36" s="2" t="s">
        <v>20</v>
      </c>
      <c r="AC36" s="2" t="s">
        <v>20</v>
      </c>
      <c r="AH36" s="4" t="s">
        <v>25</v>
      </c>
      <c r="AI36" s="10">
        <f>SUM(D36:E36,I36:M36,P36:T36,W36:AA36,AD36:AG36)</f>
        <v>0</v>
      </c>
      <c r="AK36">
        <v>16</v>
      </c>
    </row>
    <row r="37" spans="2:37" x14ac:dyDescent="0.2">
      <c r="C37" t="s">
        <v>10</v>
      </c>
      <c r="D37">
        <v>8</v>
      </c>
      <c r="E37">
        <v>8</v>
      </c>
      <c r="F37" s="4" t="s">
        <v>25</v>
      </c>
      <c r="G37" s="2" t="s">
        <v>20</v>
      </c>
      <c r="H37" s="2" t="s">
        <v>20</v>
      </c>
      <c r="N37" s="2" t="s">
        <v>20</v>
      </c>
      <c r="O37" s="2" t="s">
        <v>20</v>
      </c>
      <c r="U37" s="2" t="s">
        <v>20</v>
      </c>
      <c r="V37" s="2" t="s">
        <v>20</v>
      </c>
      <c r="AB37" s="2" t="s">
        <v>20</v>
      </c>
      <c r="AC37" s="2" t="s">
        <v>20</v>
      </c>
      <c r="AD37">
        <v>8</v>
      </c>
      <c r="AE37">
        <v>8</v>
      </c>
      <c r="AF37">
        <v>8</v>
      </c>
      <c r="AG37">
        <v>8</v>
      </c>
      <c r="AH37" s="4" t="s">
        <v>25</v>
      </c>
      <c r="AI37" s="10">
        <f t="shared" ref="AI37:AI44" si="3">SUM(D37:E37,I37:M37,P37:T37,W37:AA37,AD37:AG37)</f>
        <v>48</v>
      </c>
    </row>
    <row r="38" spans="2:37" x14ac:dyDescent="0.2">
      <c r="B38" t="s">
        <v>28</v>
      </c>
      <c r="C38" t="s">
        <v>8</v>
      </c>
      <c r="F38" s="4" t="s">
        <v>25</v>
      </c>
      <c r="G38" s="2" t="s">
        <v>20</v>
      </c>
      <c r="H38" s="2" t="s">
        <v>20</v>
      </c>
      <c r="N38" s="2" t="s">
        <v>20</v>
      </c>
      <c r="O38" s="2" t="s">
        <v>20</v>
      </c>
      <c r="U38" s="2" t="s">
        <v>20</v>
      </c>
      <c r="V38" s="2" t="s">
        <v>20</v>
      </c>
      <c r="AB38" s="2" t="s">
        <v>20</v>
      </c>
      <c r="AC38" s="2" t="s">
        <v>20</v>
      </c>
      <c r="AH38" s="4" t="s">
        <v>25</v>
      </c>
      <c r="AI38" s="10">
        <f>SUM(D38:E38,I38:M38,P38:T38,W38:AA38,AD38:AG38)</f>
        <v>0</v>
      </c>
    </row>
    <row r="39" spans="2:37" x14ac:dyDescent="0.2">
      <c r="B39" t="s">
        <v>30</v>
      </c>
      <c r="C39" t="s">
        <v>13</v>
      </c>
      <c r="F39" s="4" t="s">
        <v>25</v>
      </c>
      <c r="G39" s="2" t="s">
        <v>20</v>
      </c>
      <c r="H39" s="2" t="s">
        <v>20</v>
      </c>
      <c r="I39">
        <v>8</v>
      </c>
      <c r="J39">
        <v>8</v>
      </c>
      <c r="K39">
        <v>8</v>
      </c>
      <c r="L39">
        <v>8</v>
      </c>
      <c r="M39">
        <v>8</v>
      </c>
      <c r="N39" s="2" t="s">
        <v>20</v>
      </c>
      <c r="O39" s="2" t="s">
        <v>20</v>
      </c>
      <c r="U39" s="2" t="s">
        <v>20</v>
      </c>
      <c r="V39" s="2" t="s">
        <v>20</v>
      </c>
      <c r="AB39" s="2" t="s">
        <v>20</v>
      </c>
      <c r="AC39" s="2" t="s">
        <v>20</v>
      </c>
      <c r="AH39" s="4" t="s">
        <v>25</v>
      </c>
      <c r="AI39" s="10">
        <f>SUM(D39:E39,I39:M39,P39:T39,W39:AA39,AD39:AG39)</f>
        <v>40</v>
      </c>
    </row>
    <row r="40" spans="2:37" x14ac:dyDescent="0.2">
      <c r="B40" s="6">
        <v>184</v>
      </c>
      <c r="C40" t="s">
        <v>11</v>
      </c>
      <c r="F40" s="4" t="s">
        <v>25</v>
      </c>
      <c r="G40" s="2" t="s">
        <v>20</v>
      </c>
      <c r="H40" s="2" t="s">
        <v>20</v>
      </c>
      <c r="N40" s="2" t="s">
        <v>20</v>
      </c>
      <c r="O40" s="2" t="s">
        <v>20</v>
      </c>
      <c r="P40">
        <v>8</v>
      </c>
      <c r="Q40">
        <v>8</v>
      </c>
      <c r="R40">
        <v>8</v>
      </c>
      <c r="S40">
        <v>8</v>
      </c>
      <c r="T40">
        <v>8</v>
      </c>
      <c r="U40" s="2" t="s">
        <v>20</v>
      </c>
      <c r="V40" s="2" t="s">
        <v>20</v>
      </c>
      <c r="W40">
        <v>8</v>
      </c>
      <c r="X40">
        <v>8</v>
      </c>
      <c r="Y40">
        <v>8</v>
      </c>
      <c r="Z40">
        <v>8</v>
      </c>
      <c r="AA40">
        <v>8</v>
      </c>
      <c r="AB40" s="2" t="s">
        <v>20</v>
      </c>
      <c r="AC40" s="2" t="s">
        <v>20</v>
      </c>
      <c r="AH40" s="4" t="s">
        <v>25</v>
      </c>
      <c r="AI40" s="10">
        <f t="shared" si="3"/>
        <v>80</v>
      </c>
    </row>
    <row r="41" spans="2:37" x14ac:dyDescent="0.2">
      <c r="C41" t="s">
        <v>35</v>
      </c>
      <c r="F41" s="4" t="s">
        <v>25</v>
      </c>
      <c r="G41" s="2" t="s">
        <v>20</v>
      </c>
      <c r="H41" s="2" t="s">
        <v>20</v>
      </c>
      <c r="N41" s="2" t="s">
        <v>20</v>
      </c>
      <c r="O41" s="2" t="s">
        <v>20</v>
      </c>
      <c r="U41" s="2" t="s">
        <v>20</v>
      </c>
      <c r="V41" s="2" t="s">
        <v>20</v>
      </c>
      <c r="AB41" s="2" t="s">
        <v>20</v>
      </c>
      <c r="AC41" s="2" t="s">
        <v>20</v>
      </c>
      <c r="AH41" s="4" t="s">
        <v>25</v>
      </c>
      <c r="AI41" s="10">
        <v>0</v>
      </c>
    </row>
    <row r="42" spans="2:37" x14ac:dyDescent="0.2">
      <c r="C42" t="s">
        <v>7</v>
      </c>
      <c r="F42" s="4" t="s">
        <v>25</v>
      </c>
      <c r="G42" s="2" t="s">
        <v>20</v>
      </c>
      <c r="H42" s="2" t="s">
        <v>20</v>
      </c>
      <c r="N42" s="2" t="s">
        <v>20</v>
      </c>
      <c r="O42" s="2" t="s">
        <v>20</v>
      </c>
      <c r="U42" s="2" t="s">
        <v>20</v>
      </c>
      <c r="V42" s="2" t="s">
        <v>20</v>
      </c>
      <c r="AB42" s="2" t="s">
        <v>20</v>
      </c>
      <c r="AC42" s="2" t="s">
        <v>20</v>
      </c>
      <c r="AH42" s="4" t="s">
        <v>25</v>
      </c>
      <c r="AI42" s="10">
        <f t="shared" si="3"/>
        <v>0</v>
      </c>
    </row>
    <row r="43" spans="2:37" x14ac:dyDescent="0.2">
      <c r="C43" t="s">
        <v>12</v>
      </c>
      <c r="F43" s="4" t="s">
        <v>25</v>
      </c>
      <c r="G43" s="2" t="s">
        <v>20</v>
      </c>
      <c r="H43" s="2" t="s">
        <v>20</v>
      </c>
      <c r="N43" s="2" t="s">
        <v>20</v>
      </c>
      <c r="O43" s="2" t="s">
        <v>20</v>
      </c>
      <c r="U43" s="2" t="s">
        <v>20</v>
      </c>
      <c r="V43" s="2" t="s">
        <v>20</v>
      </c>
      <c r="AB43" s="2" t="s">
        <v>20</v>
      </c>
      <c r="AC43" s="2" t="s">
        <v>20</v>
      </c>
      <c r="AH43" s="4" t="s">
        <v>25</v>
      </c>
      <c r="AI43" s="10">
        <f t="shared" si="3"/>
        <v>0</v>
      </c>
    </row>
    <row r="44" spans="2:37" x14ac:dyDescent="0.2">
      <c r="C44" t="s">
        <v>9</v>
      </c>
      <c r="F44" s="4" t="s">
        <v>25</v>
      </c>
      <c r="G44" s="2" t="s">
        <v>20</v>
      </c>
      <c r="H44" s="2" t="s">
        <v>20</v>
      </c>
      <c r="N44" s="2" t="s">
        <v>20</v>
      </c>
      <c r="O44" s="2" t="s">
        <v>20</v>
      </c>
      <c r="U44" s="2" t="s">
        <v>20</v>
      </c>
      <c r="V44" s="2" t="s">
        <v>20</v>
      </c>
      <c r="AB44" s="2" t="s">
        <v>20</v>
      </c>
      <c r="AC44" s="2" t="s">
        <v>20</v>
      </c>
      <c r="AH44" s="4" t="s">
        <v>25</v>
      </c>
      <c r="AI44" s="10">
        <f t="shared" si="3"/>
        <v>0</v>
      </c>
    </row>
    <row r="45" spans="2:37" s="1" customFormat="1" x14ac:dyDescent="0.2">
      <c r="AI45" s="11">
        <f>SUM(AI36:AI44)</f>
        <v>168</v>
      </c>
      <c r="AK45" s="1">
        <f>SUM(AI45,AJ36:AK36)</f>
        <v>184</v>
      </c>
    </row>
    <row r="46" spans="2:37" x14ac:dyDescent="0.2">
      <c r="B46" t="s">
        <v>18</v>
      </c>
      <c r="C46" t="s">
        <v>16</v>
      </c>
      <c r="D46" s="2" t="s">
        <v>20</v>
      </c>
      <c r="E46" s="2" t="s">
        <v>20</v>
      </c>
      <c r="K46" s="2" t="s">
        <v>20</v>
      </c>
      <c r="L46" s="2" t="s">
        <v>20</v>
      </c>
      <c r="R46" s="2" t="s">
        <v>20</v>
      </c>
      <c r="S46" s="2" t="s">
        <v>20</v>
      </c>
      <c r="Y46" s="2" t="s">
        <v>20</v>
      </c>
      <c r="Z46" s="2" t="s">
        <v>20</v>
      </c>
      <c r="AF46" s="2" t="s">
        <v>20</v>
      </c>
      <c r="AG46" s="2" t="s">
        <v>20</v>
      </c>
      <c r="AH46" s="9"/>
      <c r="AI46" s="10">
        <f>SUM(F46:J46,M46:Q46,T46:X46,AA46:AE46)</f>
        <v>0</v>
      </c>
    </row>
    <row r="47" spans="2:37" x14ac:dyDescent="0.2">
      <c r="C47" t="s">
        <v>10</v>
      </c>
      <c r="D47" s="2" t="s">
        <v>20</v>
      </c>
      <c r="E47" s="2" t="s">
        <v>20</v>
      </c>
      <c r="F47">
        <v>8</v>
      </c>
      <c r="G47">
        <v>8</v>
      </c>
      <c r="H47">
        <v>8</v>
      </c>
      <c r="I47">
        <v>8</v>
      </c>
      <c r="J47">
        <v>8</v>
      </c>
      <c r="K47" s="2" t="s">
        <v>20</v>
      </c>
      <c r="L47" s="2" t="s">
        <v>20</v>
      </c>
      <c r="R47" s="2" t="s">
        <v>20</v>
      </c>
      <c r="S47" s="2" t="s">
        <v>20</v>
      </c>
      <c r="Y47" s="2" t="s">
        <v>20</v>
      </c>
      <c r="Z47" s="2" t="s">
        <v>20</v>
      </c>
      <c r="AF47" s="2" t="s">
        <v>20</v>
      </c>
      <c r="AG47" s="2" t="s">
        <v>20</v>
      </c>
      <c r="AH47" s="9"/>
      <c r="AI47" s="10">
        <f t="shared" ref="AI47:AI54" si="4">SUM(F47:J47,M47:Q47,T47:X47,AA47:AE47)</f>
        <v>40</v>
      </c>
    </row>
    <row r="48" spans="2:37" x14ac:dyDescent="0.2">
      <c r="B48" t="s">
        <v>31</v>
      </c>
      <c r="C48" t="s">
        <v>8</v>
      </c>
      <c r="D48" s="2" t="s">
        <v>20</v>
      </c>
      <c r="E48" s="2" t="s">
        <v>20</v>
      </c>
      <c r="K48" s="2" t="s">
        <v>20</v>
      </c>
      <c r="L48" s="2" t="s">
        <v>20</v>
      </c>
      <c r="R48" s="2" t="s">
        <v>20</v>
      </c>
      <c r="S48" s="2" t="s">
        <v>20</v>
      </c>
      <c r="Y48" s="2" t="s">
        <v>20</v>
      </c>
      <c r="Z48" s="2" t="s">
        <v>20</v>
      </c>
      <c r="AF48" s="2" t="s">
        <v>20</v>
      </c>
      <c r="AG48" s="2" t="s">
        <v>20</v>
      </c>
      <c r="AH48" s="9"/>
      <c r="AI48" s="10">
        <f t="shared" si="4"/>
        <v>0</v>
      </c>
    </row>
    <row r="49" spans="2:37" x14ac:dyDescent="0.2">
      <c r="C49" t="s">
        <v>13</v>
      </c>
      <c r="D49" s="2" t="s">
        <v>20</v>
      </c>
      <c r="E49" s="2" t="s">
        <v>20</v>
      </c>
      <c r="K49" s="2" t="s">
        <v>20</v>
      </c>
      <c r="L49" s="2" t="s">
        <v>20</v>
      </c>
      <c r="M49">
        <v>8</v>
      </c>
      <c r="N49">
        <v>8</v>
      </c>
      <c r="O49">
        <v>8</v>
      </c>
      <c r="P49">
        <v>8</v>
      </c>
      <c r="Q49">
        <v>8</v>
      </c>
      <c r="R49" s="2" t="s">
        <v>20</v>
      </c>
      <c r="S49" s="2" t="s">
        <v>20</v>
      </c>
      <c r="Y49" s="2" t="s">
        <v>20</v>
      </c>
      <c r="Z49" s="2" t="s">
        <v>20</v>
      </c>
      <c r="AF49" s="2" t="s">
        <v>20</v>
      </c>
      <c r="AG49" s="2" t="s">
        <v>20</v>
      </c>
      <c r="AH49" s="9"/>
      <c r="AI49" s="10">
        <f t="shared" si="4"/>
        <v>40</v>
      </c>
    </row>
    <row r="50" spans="2:37" x14ac:dyDescent="0.2">
      <c r="B50" s="6">
        <v>160</v>
      </c>
      <c r="C50" t="s">
        <v>11</v>
      </c>
      <c r="D50" s="2" t="s">
        <v>20</v>
      </c>
      <c r="E50" s="2" t="s">
        <v>20</v>
      </c>
      <c r="K50" s="2" t="s">
        <v>20</v>
      </c>
      <c r="L50" s="2" t="s">
        <v>20</v>
      </c>
      <c r="R50" s="2" t="s">
        <v>20</v>
      </c>
      <c r="S50" s="2" t="s">
        <v>20</v>
      </c>
      <c r="T50">
        <v>8</v>
      </c>
      <c r="U50">
        <v>8</v>
      </c>
      <c r="V50">
        <v>8</v>
      </c>
      <c r="W50">
        <v>8</v>
      </c>
      <c r="X50">
        <v>8</v>
      </c>
      <c r="Y50" s="2" t="s">
        <v>20</v>
      </c>
      <c r="Z50" s="2" t="s">
        <v>20</v>
      </c>
      <c r="AA50">
        <v>8</v>
      </c>
      <c r="AB50">
        <v>8</v>
      </c>
      <c r="AC50">
        <v>8</v>
      </c>
      <c r="AD50">
        <v>8</v>
      </c>
      <c r="AE50">
        <v>8</v>
      </c>
      <c r="AF50" s="2" t="s">
        <v>20</v>
      </c>
      <c r="AG50" s="2" t="s">
        <v>20</v>
      </c>
      <c r="AH50" s="9"/>
      <c r="AI50" s="10">
        <f t="shared" si="4"/>
        <v>80</v>
      </c>
    </row>
    <row r="51" spans="2:37" x14ac:dyDescent="0.2">
      <c r="C51" t="s">
        <v>35</v>
      </c>
      <c r="D51" s="2" t="s">
        <v>20</v>
      </c>
      <c r="E51" s="2" t="s">
        <v>20</v>
      </c>
      <c r="K51" s="2" t="s">
        <v>20</v>
      </c>
      <c r="L51" s="2" t="s">
        <v>20</v>
      </c>
      <c r="R51" s="2" t="s">
        <v>20</v>
      </c>
      <c r="S51" s="2" t="s">
        <v>20</v>
      </c>
      <c r="Y51" s="2" t="s">
        <v>20</v>
      </c>
      <c r="Z51" s="2" t="s">
        <v>20</v>
      </c>
      <c r="AF51" s="2" t="s">
        <v>20</v>
      </c>
      <c r="AG51" s="2" t="s">
        <v>20</v>
      </c>
      <c r="AH51" s="9"/>
      <c r="AI51" s="10">
        <f t="shared" si="4"/>
        <v>0</v>
      </c>
    </row>
    <row r="52" spans="2:37" x14ac:dyDescent="0.2">
      <c r="C52" t="s">
        <v>7</v>
      </c>
      <c r="D52" s="2" t="s">
        <v>20</v>
      </c>
      <c r="E52" s="2" t="s">
        <v>20</v>
      </c>
      <c r="K52" s="2" t="s">
        <v>20</v>
      </c>
      <c r="L52" s="2" t="s">
        <v>20</v>
      </c>
      <c r="R52" s="2" t="s">
        <v>20</v>
      </c>
      <c r="S52" s="2" t="s">
        <v>20</v>
      </c>
      <c r="Y52" s="2" t="s">
        <v>20</v>
      </c>
      <c r="Z52" s="2" t="s">
        <v>20</v>
      </c>
      <c r="AF52" s="2" t="s">
        <v>20</v>
      </c>
      <c r="AG52" s="2" t="s">
        <v>20</v>
      </c>
      <c r="AH52" s="9"/>
      <c r="AI52" s="10">
        <f t="shared" si="4"/>
        <v>0</v>
      </c>
    </row>
    <row r="53" spans="2:37" x14ac:dyDescent="0.2">
      <c r="C53" t="s">
        <v>12</v>
      </c>
      <c r="D53" s="2" t="s">
        <v>20</v>
      </c>
      <c r="E53" s="2" t="s">
        <v>20</v>
      </c>
      <c r="K53" s="2" t="s">
        <v>20</v>
      </c>
      <c r="L53" s="2" t="s">
        <v>20</v>
      </c>
      <c r="R53" s="2" t="s">
        <v>20</v>
      </c>
      <c r="S53" s="2" t="s">
        <v>20</v>
      </c>
      <c r="Y53" s="2" t="s">
        <v>20</v>
      </c>
      <c r="Z53" s="2" t="s">
        <v>20</v>
      </c>
      <c r="AF53" s="2" t="s">
        <v>20</v>
      </c>
      <c r="AG53" s="2" t="s">
        <v>20</v>
      </c>
      <c r="AH53" s="9"/>
      <c r="AI53" s="10">
        <f t="shared" si="4"/>
        <v>0</v>
      </c>
    </row>
    <row r="54" spans="2:37" x14ac:dyDescent="0.2">
      <c r="C54" t="s">
        <v>9</v>
      </c>
      <c r="D54" s="2" t="s">
        <v>20</v>
      </c>
      <c r="E54" s="2" t="s">
        <v>20</v>
      </c>
      <c r="K54" s="2" t="s">
        <v>20</v>
      </c>
      <c r="L54" s="2" t="s">
        <v>20</v>
      </c>
      <c r="R54" s="2" t="s">
        <v>20</v>
      </c>
      <c r="S54" s="2" t="s">
        <v>20</v>
      </c>
      <c r="Y54" s="2" t="s">
        <v>20</v>
      </c>
      <c r="Z54" s="2" t="s">
        <v>20</v>
      </c>
      <c r="AF54" s="2" t="s">
        <v>20</v>
      </c>
      <c r="AG54" s="2" t="s">
        <v>20</v>
      </c>
      <c r="AH54" s="9"/>
      <c r="AI54" s="10">
        <f t="shared" si="4"/>
        <v>0</v>
      </c>
    </row>
    <row r="55" spans="2:37" s="1" customFormat="1" x14ac:dyDescent="0.2">
      <c r="AI55" s="11">
        <f>SUM(AI46:AI54)</f>
        <v>160</v>
      </c>
      <c r="AK55" s="1">
        <f>SUM(AI55,AJ46:AK46)</f>
        <v>160</v>
      </c>
    </row>
    <row r="56" spans="2:37" x14ac:dyDescent="0.2">
      <c r="B56" t="s">
        <v>19</v>
      </c>
      <c r="C56" t="s">
        <v>16</v>
      </c>
      <c r="I56" s="2" t="s">
        <v>20</v>
      </c>
      <c r="J56" s="2" t="s">
        <v>20</v>
      </c>
      <c r="P56" s="2" t="s">
        <v>20</v>
      </c>
      <c r="Q56" s="2" t="s">
        <v>20</v>
      </c>
      <c r="W56" s="2" t="s">
        <v>20</v>
      </c>
      <c r="X56" s="2" t="s">
        <v>20</v>
      </c>
      <c r="Y56" s="2" t="s">
        <v>33</v>
      </c>
      <c r="Z56" s="2" t="s">
        <v>33</v>
      </c>
      <c r="AA56" s="2" t="s">
        <v>33</v>
      </c>
      <c r="AB56" s="4" t="s">
        <v>25</v>
      </c>
      <c r="AC56" s="4" t="s">
        <v>25</v>
      </c>
      <c r="AD56" s="2" t="s">
        <v>20</v>
      </c>
      <c r="AE56" s="2" t="s">
        <v>20</v>
      </c>
      <c r="AF56" s="2" t="s">
        <v>33</v>
      </c>
      <c r="AG56" s="2" t="s">
        <v>33</v>
      </c>
      <c r="AH56" s="2" t="s">
        <v>33</v>
      </c>
      <c r="AI56" s="10">
        <f>SUM(D56:H56,K56:O56,R56:V56)</f>
        <v>0</v>
      </c>
      <c r="AJ56">
        <v>48</v>
      </c>
      <c r="AK56">
        <v>16</v>
      </c>
    </row>
    <row r="57" spans="2:37" x14ac:dyDescent="0.2">
      <c r="C57" t="s">
        <v>10</v>
      </c>
      <c r="D57">
        <v>8</v>
      </c>
      <c r="E57">
        <v>8</v>
      </c>
      <c r="F57">
        <v>8</v>
      </c>
      <c r="G57">
        <v>8</v>
      </c>
      <c r="H57">
        <v>8</v>
      </c>
      <c r="I57" s="2" t="s">
        <v>20</v>
      </c>
      <c r="J57" s="2" t="s">
        <v>20</v>
      </c>
      <c r="P57" s="2" t="s">
        <v>20</v>
      </c>
      <c r="Q57" s="2" t="s">
        <v>20</v>
      </c>
      <c r="W57" s="2" t="s">
        <v>20</v>
      </c>
      <c r="X57" s="2" t="s">
        <v>20</v>
      </c>
      <c r="Y57" s="2" t="s">
        <v>33</v>
      </c>
      <c r="Z57" s="2" t="s">
        <v>33</v>
      </c>
      <c r="AA57" s="2" t="s">
        <v>33</v>
      </c>
      <c r="AB57" s="4" t="s">
        <v>25</v>
      </c>
      <c r="AC57" s="4" t="s">
        <v>25</v>
      </c>
      <c r="AD57" s="2" t="s">
        <v>20</v>
      </c>
      <c r="AE57" s="2" t="s">
        <v>20</v>
      </c>
      <c r="AF57" s="2" t="s">
        <v>33</v>
      </c>
      <c r="AG57" s="2" t="s">
        <v>33</v>
      </c>
      <c r="AH57" s="2" t="s">
        <v>33</v>
      </c>
      <c r="AI57" s="10">
        <f t="shared" ref="AI57:AI64" si="5">SUM(D57:H57,K57:O57,R57:V57)</f>
        <v>40</v>
      </c>
    </row>
    <row r="58" spans="2:37" x14ac:dyDescent="0.2">
      <c r="B58" t="s">
        <v>38</v>
      </c>
      <c r="C58" t="s">
        <v>8</v>
      </c>
      <c r="I58" s="2" t="s">
        <v>20</v>
      </c>
      <c r="J58" s="2" t="s">
        <v>20</v>
      </c>
      <c r="P58" s="2" t="s">
        <v>20</v>
      </c>
      <c r="Q58" s="2" t="s">
        <v>20</v>
      </c>
      <c r="W58" s="2" t="s">
        <v>20</v>
      </c>
      <c r="X58" s="2" t="s">
        <v>20</v>
      </c>
      <c r="Y58" s="2" t="s">
        <v>33</v>
      </c>
      <c r="Z58" s="2" t="s">
        <v>33</v>
      </c>
      <c r="AA58" s="2" t="s">
        <v>33</v>
      </c>
      <c r="AB58" s="4" t="s">
        <v>25</v>
      </c>
      <c r="AC58" s="4" t="s">
        <v>25</v>
      </c>
      <c r="AD58" s="2" t="s">
        <v>20</v>
      </c>
      <c r="AE58" s="2" t="s">
        <v>20</v>
      </c>
      <c r="AF58" s="2" t="s">
        <v>33</v>
      </c>
      <c r="AG58" s="2" t="s">
        <v>33</v>
      </c>
      <c r="AH58" s="2" t="s">
        <v>33</v>
      </c>
      <c r="AI58" s="10">
        <f t="shared" si="5"/>
        <v>0</v>
      </c>
    </row>
    <row r="59" spans="2:37" x14ac:dyDescent="0.2">
      <c r="C59" t="s">
        <v>13</v>
      </c>
      <c r="I59" s="2" t="s">
        <v>20</v>
      </c>
      <c r="J59" s="2" t="s">
        <v>20</v>
      </c>
      <c r="K59">
        <v>8</v>
      </c>
      <c r="L59">
        <v>8</v>
      </c>
      <c r="M59">
        <v>8</v>
      </c>
      <c r="N59">
        <v>8</v>
      </c>
      <c r="O59">
        <v>8</v>
      </c>
      <c r="P59" s="2" t="s">
        <v>20</v>
      </c>
      <c r="Q59" s="2" t="s">
        <v>20</v>
      </c>
      <c r="W59" s="2" t="s">
        <v>20</v>
      </c>
      <c r="X59" s="2" t="s">
        <v>20</v>
      </c>
      <c r="Y59" s="2" t="s">
        <v>33</v>
      </c>
      <c r="Z59" s="2" t="s">
        <v>33</v>
      </c>
      <c r="AA59" s="2" t="s">
        <v>33</v>
      </c>
      <c r="AB59" s="4" t="s">
        <v>25</v>
      </c>
      <c r="AC59" s="4" t="s">
        <v>25</v>
      </c>
      <c r="AD59" s="2" t="s">
        <v>20</v>
      </c>
      <c r="AE59" s="2" t="s">
        <v>20</v>
      </c>
      <c r="AF59" s="2" t="s">
        <v>33</v>
      </c>
      <c r="AG59" s="2" t="s">
        <v>33</v>
      </c>
      <c r="AH59" s="2" t="s">
        <v>33</v>
      </c>
      <c r="AI59" s="10">
        <f t="shared" si="5"/>
        <v>40</v>
      </c>
    </row>
    <row r="60" spans="2:37" x14ac:dyDescent="0.2">
      <c r="B60" t="s">
        <v>30</v>
      </c>
      <c r="C60" t="s">
        <v>11</v>
      </c>
      <c r="I60" s="2" t="s">
        <v>20</v>
      </c>
      <c r="J60" s="2" t="s">
        <v>20</v>
      </c>
      <c r="P60" s="2" t="s">
        <v>20</v>
      </c>
      <c r="Q60" s="2" t="s">
        <v>20</v>
      </c>
      <c r="R60">
        <v>8</v>
      </c>
      <c r="S60">
        <v>8</v>
      </c>
      <c r="T60">
        <v>8</v>
      </c>
      <c r="U60">
        <v>8</v>
      </c>
      <c r="V60">
        <v>8</v>
      </c>
      <c r="W60" s="2" t="s">
        <v>20</v>
      </c>
      <c r="X60" s="2" t="s">
        <v>20</v>
      </c>
      <c r="Y60" s="2" t="s">
        <v>33</v>
      </c>
      <c r="Z60" s="2" t="s">
        <v>33</v>
      </c>
      <c r="AA60" s="2" t="s">
        <v>33</v>
      </c>
      <c r="AB60" s="4" t="s">
        <v>25</v>
      </c>
      <c r="AC60" s="4" t="s">
        <v>25</v>
      </c>
      <c r="AD60" s="2" t="s">
        <v>20</v>
      </c>
      <c r="AE60" s="2" t="s">
        <v>20</v>
      </c>
      <c r="AF60" s="2" t="s">
        <v>33</v>
      </c>
      <c r="AG60" s="2" t="s">
        <v>33</v>
      </c>
      <c r="AH60" s="2" t="s">
        <v>33</v>
      </c>
      <c r="AI60" s="10">
        <f t="shared" si="5"/>
        <v>40</v>
      </c>
    </row>
    <row r="61" spans="2:37" x14ac:dyDescent="0.2">
      <c r="B61" t="s">
        <v>39</v>
      </c>
      <c r="C61" t="s">
        <v>35</v>
      </c>
      <c r="I61" s="2" t="s">
        <v>20</v>
      </c>
      <c r="J61" s="2" t="s">
        <v>20</v>
      </c>
      <c r="P61" s="2" t="s">
        <v>20</v>
      </c>
      <c r="Q61" s="2" t="s">
        <v>20</v>
      </c>
      <c r="W61" s="2" t="s">
        <v>20</v>
      </c>
      <c r="X61" s="2" t="s">
        <v>20</v>
      </c>
      <c r="Y61" s="2" t="s">
        <v>33</v>
      </c>
      <c r="Z61" s="2" t="s">
        <v>33</v>
      </c>
      <c r="AA61" s="2" t="s">
        <v>33</v>
      </c>
      <c r="AB61" s="4" t="s">
        <v>25</v>
      </c>
      <c r="AC61" s="4" t="s">
        <v>25</v>
      </c>
      <c r="AD61" s="2" t="s">
        <v>20</v>
      </c>
      <c r="AE61" s="2" t="s">
        <v>20</v>
      </c>
      <c r="AF61" s="2" t="s">
        <v>33</v>
      </c>
      <c r="AG61" s="2" t="s">
        <v>33</v>
      </c>
      <c r="AH61" s="2" t="s">
        <v>33</v>
      </c>
      <c r="AI61" s="10">
        <f t="shared" si="5"/>
        <v>0</v>
      </c>
    </row>
    <row r="62" spans="2:37" x14ac:dyDescent="0.2">
      <c r="C62" t="s">
        <v>7</v>
      </c>
      <c r="I62" s="2" t="s">
        <v>20</v>
      </c>
      <c r="J62" s="2" t="s">
        <v>20</v>
      </c>
      <c r="P62" s="2" t="s">
        <v>20</v>
      </c>
      <c r="Q62" s="2" t="s">
        <v>20</v>
      </c>
      <c r="W62" s="2" t="s">
        <v>20</v>
      </c>
      <c r="X62" s="2" t="s">
        <v>20</v>
      </c>
      <c r="Y62" s="2" t="s">
        <v>33</v>
      </c>
      <c r="Z62" s="2" t="s">
        <v>33</v>
      </c>
      <c r="AA62" s="2" t="s">
        <v>33</v>
      </c>
      <c r="AB62" s="4" t="s">
        <v>25</v>
      </c>
      <c r="AC62" s="4" t="s">
        <v>25</v>
      </c>
      <c r="AD62" s="2" t="s">
        <v>20</v>
      </c>
      <c r="AE62" s="2" t="s">
        <v>20</v>
      </c>
      <c r="AF62" s="2" t="s">
        <v>33</v>
      </c>
      <c r="AG62" s="2" t="s">
        <v>33</v>
      </c>
      <c r="AH62" s="2" t="s">
        <v>33</v>
      </c>
      <c r="AI62" s="10">
        <f t="shared" si="5"/>
        <v>0</v>
      </c>
    </row>
    <row r="63" spans="2:37" x14ac:dyDescent="0.2">
      <c r="B63" s="6">
        <v>184</v>
      </c>
      <c r="C63" t="s">
        <v>12</v>
      </c>
      <c r="I63" s="2" t="s">
        <v>20</v>
      </c>
      <c r="J63" s="2" t="s">
        <v>20</v>
      </c>
      <c r="P63" s="2" t="s">
        <v>20</v>
      </c>
      <c r="Q63" s="2" t="s">
        <v>20</v>
      </c>
      <c r="W63" s="2" t="s">
        <v>20</v>
      </c>
      <c r="X63" s="2" t="s">
        <v>20</v>
      </c>
      <c r="Y63" s="2" t="s">
        <v>33</v>
      </c>
      <c r="Z63" s="2" t="s">
        <v>33</v>
      </c>
      <c r="AA63" s="2" t="s">
        <v>33</v>
      </c>
      <c r="AB63" s="4" t="s">
        <v>25</v>
      </c>
      <c r="AC63" s="4" t="s">
        <v>25</v>
      </c>
      <c r="AD63" s="2" t="s">
        <v>20</v>
      </c>
      <c r="AE63" s="2" t="s">
        <v>20</v>
      </c>
      <c r="AF63" s="2" t="s">
        <v>33</v>
      </c>
      <c r="AG63" s="2" t="s">
        <v>33</v>
      </c>
      <c r="AH63" s="2" t="s">
        <v>33</v>
      </c>
      <c r="AI63" s="10">
        <f t="shared" si="5"/>
        <v>0</v>
      </c>
    </row>
    <row r="64" spans="2:37" x14ac:dyDescent="0.2">
      <c r="C64" t="s">
        <v>9</v>
      </c>
      <c r="I64" s="2" t="s">
        <v>20</v>
      </c>
      <c r="J64" s="2" t="s">
        <v>20</v>
      </c>
      <c r="P64" s="2" t="s">
        <v>20</v>
      </c>
      <c r="Q64" s="2" t="s">
        <v>20</v>
      </c>
      <c r="W64" s="2" t="s">
        <v>20</v>
      </c>
      <c r="X64" s="2" t="s">
        <v>20</v>
      </c>
      <c r="Y64" s="2" t="s">
        <v>33</v>
      </c>
      <c r="Z64" s="2" t="s">
        <v>33</v>
      </c>
      <c r="AA64" s="2" t="s">
        <v>33</v>
      </c>
      <c r="AB64" s="4" t="s">
        <v>25</v>
      </c>
      <c r="AC64" s="4" t="s">
        <v>25</v>
      </c>
      <c r="AD64" s="2" t="s">
        <v>20</v>
      </c>
      <c r="AE64" s="2" t="s">
        <v>20</v>
      </c>
      <c r="AF64" s="2" t="s">
        <v>33</v>
      </c>
      <c r="AG64" s="2" t="s">
        <v>33</v>
      </c>
      <c r="AH64" s="2" t="s">
        <v>33</v>
      </c>
      <c r="AI64" s="10">
        <f t="shared" si="5"/>
        <v>0</v>
      </c>
    </row>
    <row r="65" spans="2:37" s="1" customFormat="1" x14ac:dyDescent="0.2">
      <c r="AI65" s="11">
        <f>SUM(AI56:AI64)</f>
        <v>120</v>
      </c>
      <c r="AK65" s="1">
        <f>SUM(AI65,AJ56:AK56)</f>
        <v>184</v>
      </c>
    </row>
    <row r="66" spans="2:37" x14ac:dyDescent="0.2">
      <c r="B66" t="s">
        <v>41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38E68-2F28-4268-897A-36A6410C6DBF}">
  <dimension ref="A1:AM66"/>
  <sheetViews>
    <sheetView topLeftCell="A14" zoomScale="150" zoomScaleNormal="150" workbookViewId="0">
      <selection activeCell="AF53" sqref="AF53"/>
    </sheetView>
  </sheetViews>
  <sheetFormatPr baseColWidth="10" defaultRowHeight="15" x14ac:dyDescent="0.2"/>
  <cols>
    <col min="1" max="2" width="14.83203125" customWidth="1"/>
    <col min="3" max="3" width="18.1640625" customWidth="1"/>
    <col min="4" max="34" width="7.83203125" customWidth="1"/>
    <col min="35" max="35" width="15.33203125" style="10" customWidth="1"/>
    <col min="36" max="36" width="15.33203125" customWidth="1"/>
  </cols>
  <sheetData>
    <row r="1" spans="1:38" x14ac:dyDescent="0.2">
      <c r="A1" t="s">
        <v>3</v>
      </c>
      <c r="B1" s="8">
        <v>2025</v>
      </c>
      <c r="F1" t="s">
        <v>21</v>
      </c>
      <c r="AA1" s="12" t="s">
        <v>63</v>
      </c>
    </row>
    <row r="2" spans="1:38" x14ac:dyDescent="0.2">
      <c r="A2" t="s">
        <v>2</v>
      </c>
      <c r="B2" s="6" t="s">
        <v>17</v>
      </c>
      <c r="C2" s="7" t="s">
        <v>44</v>
      </c>
      <c r="F2" t="s">
        <v>22</v>
      </c>
      <c r="AA2" s="12" t="s">
        <v>64</v>
      </c>
    </row>
    <row r="3" spans="1:38" x14ac:dyDescent="0.2">
      <c r="F3" t="s">
        <v>23</v>
      </c>
    </row>
    <row r="4" spans="1:38" x14ac:dyDescent="0.2">
      <c r="F4" t="s">
        <v>24</v>
      </c>
    </row>
    <row r="5" spans="1:38" x14ac:dyDescent="0.2">
      <c r="F5" t="s">
        <v>26</v>
      </c>
    </row>
    <row r="7" spans="1:38" x14ac:dyDescent="0.2">
      <c r="D7" s="1" t="s">
        <v>4</v>
      </c>
    </row>
    <row r="8" spans="1:38" s="3" customFormat="1" x14ac:dyDescent="0.2">
      <c r="A8" s="3" t="s">
        <v>0</v>
      </c>
      <c r="B8" s="3" t="s">
        <v>0</v>
      </c>
      <c r="C8" s="3" t="s">
        <v>1</v>
      </c>
      <c r="D8" s="3">
        <v>1</v>
      </c>
      <c r="E8" s="3">
        <v>2</v>
      </c>
      <c r="F8" s="3">
        <v>3</v>
      </c>
      <c r="G8" s="3">
        <v>4</v>
      </c>
      <c r="H8" s="3">
        <v>5</v>
      </c>
      <c r="I8" s="3">
        <v>6</v>
      </c>
      <c r="J8" s="3">
        <v>7</v>
      </c>
      <c r="K8" s="3">
        <v>8</v>
      </c>
      <c r="L8" s="3">
        <v>9</v>
      </c>
      <c r="M8" s="3">
        <v>10</v>
      </c>
      <c r="N8" s="3">
        <v>11</v>
      </c>
      <c r="O8" s="3">
        <v>12</v>
      </c>
      <c r="P8" s="3">
        <v>13</v>
      </c>
      <c r="Q8" s="3">
        <v>14</v>
      </c>
      <c r="R8" s="3">
        <v>15</v>
      </c>
      <c r="S8" s="3">
        <v>16</v>
      </c>
      <c r="T8" s="3">
        <v>17</v>
      </c>
      <c r="U8" s="3">
        <v>18</v>
      </c>
      <c r="V8" s="3">
        <v>19</v>
      </c>
      <c r="W8" s="3">
        <v>20</v>
      </c>
      <c r="X8" s="3">
        <v>21</v>
      </c>
      <c r="Y8" s="3">
        <v>22</v>
      </c>
      <c r="Z8" s="3">
        <v>23</v>
      </c>
      <c r="AA8" s="3">
        <v>24</v>
      </c>
      <c r="AB8" s="3">
        <v>25</v>
      </c>
      <c r="AC8" s="3">
        <v>26</v>
      </c>
      <c r="AD8" s="3">
        <v>27</v>
      </c>
      <c r="AE8" s="3">
        <v>28</v>
      </c>
      <c r="AF8" s="3">
        <v>29</v>
      </c>
      <c r="AG8" s="3">
        <v>30</v>
      </c>
      <c r="AH8" s="3">
        <v>31</v>
      </c>
      <c r="AI8" s="11" t="s">
        <v>34</v>
      </c>
      <c r="AJ8" s="18" t="s">
        <v>36</v>
      </c>
      <c r="AK8" s="18" t="s">
        <v>37</v>
      </c>
      <c r="AL8" s="18" t="s">
        <v>49</v>
      </c>
    </row>
    <row r="9" spans="1:38" x14ac:dyDescent="0.2">
      <c r="B9" s="6" t="s">
        <v>41</v>
      </c>
      <c r="C9" t="s">
        <v>6</v>
      </c>
      <c r="D9" s="2"/>
      <c r="E9" s="2"/>
      <c r="F9" s="2"/>
      <c r="G9" s="2"/>
      <c r="H9" s="2" t="s">
        <v>20</v>
      </c>
      <c r="I9" s="2" t="s">
        <v>20</v>
      </c>
      <c r="J9" s="2"/>
      <c r="K9" s="2"/>
      <c r="L9" s="2"/>
      <c r="M9" s="2"/>
      <c r="N9" s="2"/>
      <c r="O9" s="2" t="s">
        <v>20</v>
      </c>
      <c r="P9" s="2" t="s">
        <v>20</v>
      </c>
      <c r="Q9" s="2"/>
      <c r="R9" s="2"/>
      <c r="S9" s="2"/>
      <c r="T9" s="2"/>
      <c r="U9" s="2"/>
      <c r="V9" s="2" t="s">
        <v>20</v>
      </c>
      <c r="W9" s="2" t="s">
        <v>20</v>
      </c>
      <c r="X9" s="2"/>
      <c r="Y9" s="2"/>
      <c r="Z9" s="2"/>
      <c r="AA9" s="2"/>
      <c r="AB9" s="2"/>
      <c r="AC9" s="2" t="s">
        <v>20</v>
      </c>
      <c r="AD9" s="2" t="s">
        <v>20</v>
      </c>
      <c r="AE9" s="2"/>
      <c r="AF9" s="2"/>
      <c r="AG9" s="2"/>
      <c r="AH9" s="2"/>
      <c r="AI9" s="10">
        <f>SUM(D9:G9,J9:N9,Q9:U9,X9:AB9,AE9:AH9)</f>
        <v>0</v>
      </c>
      <c r="AJ9">
        <v>0</v>
      </c>
      <c r="AK9">
        <v>0</v>
      </c>
    </row>
    <row r="10" spans="1:38" x14ac:dyDescent="0.2">
      <c r="C10" t="s">
        <v>10</v>
      </c>
      <c r="D10" s="2"/>
      <c r="E10" s="2"/>
      <c r="F10" s="2"/>
      <c r="G10" s="2"/>
      <c r="H10" s="2" t="s">
        <v>20</v>
      </c>
      <c r="I10" s="2" t="s">
        <v>20</v>
      </c>
      <c r="J10" s="2"/>
      <c r="K10" s="2"/>
      <c r="L10" s="2"/>
      <c r="M10" s="2"/>
      <c r="N10" s="2"/>
      <c r="O10" s="2" t="s">
        <v>20</v>
      </c>
      <c r="P10" s="2" t="s">
        <v>20</v>
      </c>
      <c r="Q10" s="2"/>
      <c r="R10" s="2"/>
      <c r="S10" s="2"/>
      <c r="T10" s="2"/>
      <c r="U10" s="2"/>
      <c r="V10" s="2" t="s">
        <v>20</v>
      </c>
      <c r="W10" s="2" t="s">
        <v>20</v>
      </c>
      <c r="X10" s="2"/>
      <c r="Y10" s="2"/>
      <c r="Z10" s="2"/>
      <c r="AA10" s="2"/>
      <c r="AB10" s="2"/>
      <c r="AC10" s="2" t="s">
        <v>20</v>
      </c>
      <c r="AD10" s="2" t="s">
        <v>20</v>
      </c>
      <c r="AE10" s="2"/>
      <c r="AF10" s="2"/>
      <c r="AG10" s="2"/>
      <c r="AH10" s="2"/>
      <c r="AI10" s="10">
        <f t="shared" ref="AI10:AI16" si="0">SUM(D10:G10,J10:N10,Q10:U10,X10:AB10,AE10:AH10)</f>
        <v>0</v>
      </c>
    </row>
    <row r="11" spans="1:38" x14ac:dyDescent="0.2">
      <c r="B11" t="s">
        <v>42</v>
      </c>
      <c r="C11" t="s">
        <v>8</v>
      </c>
      <c r="D11" s="2"/>
      <c r="E11" s="2"/>
      <c r="F11" s="2"/>
      <c r="G11" s="2"/>
      <c r="H11" s="2" t="s">
        <v>20</v>
      </c>
      <c r="I11" s="2" t="s">
        <v>20</v>
      </c>
      <c r="J11" s="2"/>
      <c r="K11" s="2"/>
      <c r="L11" s="2"/>
      <c r="M11" s="2"/>
      <c r="N11" s="2"/>
      <c r="O11" s="2" t="s">
        <v>20</v>
      </c>
      <c r="P11" s="2" t="s">
        <v>20</v>
      </c>
      <c r="Q11" s="2"/>
      <c r="R11" s="2"/>
      <c r="S11" s="2"/>
      <c r="T11" s="2"/>
      <c r="U11" s="2"/>
      <c r="V11" s="2" t="s">
        <v>20</v>
      </c>
      <c r="W11" s="2" t="s">
        <v>20</v>
      </c>
      <c r="X11" s="2"/>
      <c r="Y11" s="2"/>
      <c r="Z11" s="2"/>
      <c r="AA11" s="2"/>
      <c r="AB11" s="2"/>
      <c r="AC11" s="2" t="s">
        <v>20</v>
      </c>
      <c r="AD11" s="2" t="s">
        <v>20</v>
      </c>
      <c r="AE11" s="2"/>
      <c r="AF11" s="2"/>
      <c r="AG11" s="2"/>
      <c r="AH11" s="2"/>
      <c r="AI11" s="10">
        <f t="shared" si="0"/>
        <v>0</v>
      </c>
    </row>
    <row r="12" spans="1:38" x14ac:dyDescent="0.2">
      <c r="C12" t="s">
        <v>13</v>
      </c>
      <c r="D12" s="2"/>
      <c r="E12" s="2"/>
      <c r="F12" s="2"/>
      <c r="G12" s="2"/>
      <c r="H12" s="2" t="s">
        <v>20</v>
      </c>
      <c r="I12" s="2" t="s">
        <v>20</v>
      </c>
      <c r="J12" s="2"/>
      <c r="K12" s="2"/>
      <c r="L12" s="2"/>
      <c r="M12" s="2"/>
      <c r="N12" s="2"/>
      <c r="O12" s="2" t="s">
        <v>20</v>
      </c>
      <c r="P12" s="2" t="s">
        <v>20</v>
      </c>
      <c r="Q12" s="2"/>
      <c r="R12" s="2"/>
      <c r="S12" s="2"/>
      <c r="T12" s="2"/>
      <c r="U12" s="2"/>
      <c r="V12" s="2" t="s">
        <v>20</v>
      </c>
      <c r="W12" s="2" t="s">
        <v>20</v>
      </c>
      <c r="X12" s="2"/>
      <c r="Y12" s="2"/>
      <c r="Z12" s="2"/>
      <c r="AA12" s="2"/>
      <c r="AB12" s="2"/>
      <c r="AC12" s="2" t="s">
        <v>20</v>
      </c>
      <c r="AD12" s="2" t="s">
        <v>20</v>
      </c>
      <c r="AE12" s="2"/>
      <c r="AF12" s="2"/>
      <c r="AG12" s="2"/>
      <c r="AH12" s="2"/>
      <c r="AI12" s="10">
        <f t="shared" si="0"/>
        <v>0</v>
      </c>
    </row>
    <row r="13" spans="1:38" x14ac:dyDescent="0.2">
      <c r="B13" s="6">
        <v>184</v>
      </c>
      <c r="C13" t="s">
        <v>11</v>
      </c>
      <c r="D13" s="2">
        <v>5</v>
      </c>
      <c r="E13" s="2">
        <v>5</v>
      </c>
      <c r="F13" s="2">
        <v>5</v>
      </c>
      <c r="G13" s="2">
        <v>5</v>
      </c>
      <c r="H13" s="2" t="s">
        <v>20</v>
      </c>
      <c r="I13" s="2" t="s">
        <v>20</v>
      </c>
      <c r="J13" s="2">
        <v>5</v>
      </c>
      <c r="K13" s="2">
        <v>5</v>
      </c>
      <c r="L13" s="2">
        <v>5</v>
      </c>
      <c r="M13" s="2">
        <v>5</v>
      </c>
      <c r="N13" s="2">
        <v>5</v>
      </c>
      <c r="O13" s="2" t="s">
        <v>20</v>
      </c>
      <c r="P13" s="2" t="s">
        <v>20</v>
      </c>
      <c r="Q13" s="2">
        <v>5</v>
      </c>
      <c r="R13" s="2">
        <v>5</v>
      </c>
      <c r="S13" s="2">
        <v>5</v>
      </c>
      <c r="T13" s="2">
        <v>5</v>
      </c>
      <c r="U13" s="2">
        <v>5</v>
      </c>
      <c r="V13" s="2" t="s">
        <v>20</v>
      </c>
      <c r="W13" s="2" t="s">
        <v>20</v>
      </c>
      <c r="X13" s="2" t="s">
        <v>33</v>
      </c>
      <c r="Y13" s="2" t="s">
        <v>33</v>
      </c>
      <c r="Z13" s="2" t="s">
        <v>33</v>
      </c>
      <c r="AA13" s="2" t="s">
        <v>33</v>
      </c>
      <c r="AB13" s="2" t="s">
        <v>33</v>
      </c>
      <c r="AC13" s="2" t="s">
        <v>20</v>
      </c>
      <c r="AD13" s="2" t="s">
        <v>20</v>
      </c>
      <c r="AE13" s="2" t="s">
        <v>33</v>
      </c>
      <c r="AF13" s="2" t="s">
        <v>33</v>
      </c>
      <c r="AG13" s="2" t="s">
        <v>33</v>
      </c>
      <c r="AH13" s="2" t="s">
        <v>33</v>
      </c>
      <c r="AI13" s="10">
        <f t="shared" si="0"/>
        <v>70</v>
      </c>
    </row>
    <row r="14" spans="1:38" x14ac:dyDescent="0.2">
      <c r="C14" t="s">
        <v>7</v>
      </c>
      <c r="D14" s="2"/>
      <c r="E14" s="2"/>
      <c r="F14" s="2"/>
      <c r="G14" s="2"/>
      <c r="H14" s="2" t="s">
        <v>20</v>
      </c>
      <c r="I14" s="2" t="s">
        <v>20</v>
      </c>
      <c r="J14" s="2"/>
      <c r="K14" s="2"/>
      <c r="L14" s="2"/>
      <c r="M14" s="2"/>
      <c r="N14" s="2"/>
      <c r="O14" s="2" t="s">
        <v>20</v>
      </c>
      <c r="P14" s="2" t="s">
        <v>20</v>
      </c>
      <c r="Q14" s="2"/>
      <c r="R14" s="2"/>
      <c r="S14" s="2"/>
      <c r="T14" s="2"/>
      <c r="U14" s="2"/>
      <c r="V14" s="2" t="s">
        <v>20</v>
      </c>
      <c r="W14" s="2" t="s">
        <v>20</v>
      </c>
      <c r="X14" s="2"/>
      <c r="Y14" s="2"/>
      <c r="Z14" s="2"/>
      <c r="AA14" s="2"/>
      <c r="AB14" s="2"/>
      <c r="AC14" s="2" t="s">
        <v>20</v>
      </c>
      <c r="AD14" s="2" t="s">
        <v>20</v>
      </c>
      <c r="AE14" s="2"/>
      <c r="AF14" s="2"/>
      <c r="AG14" s="2"/>
      <c r="AH14" s="2"/>
      <c r="AI14" s="10">
        <f t="shared" si="0"/>
        <v>0</v>
      </c>
    </row>
    <row r="15" spans="1:38" x14ac:dyDescent="0.2">
      <c r="C15" t="s">
        <v>12</v>
      </c>
      <c r="D15" s="2"/>
      <c r="E15" s="2"/>
      <c r="F15" s="2"/>
      <c r="G15" s="2"/>
      <c r="H15" s="2" t="s">
        <v>20</v>
      </c>
      <c r="I15" s="2" t="s">
        <v>20</v>
      </c>
      <c r="J15" s="2"/>
      <c r="K15" s="2"/>
      <c r="L15" s="2"/>
      <c r="M15" s="2"/>
      <c r="N15" s="2"/>
      <c r="O15" s="2" t="s">
        <v>20</v>
      </c>
      <c r="P15" s="2" t="s">
        <v>20</v>
      </c>
      <c r="Q15" s="2"/>
      <c r="R15" s="2"/>
      <c r="S15" s="2"/>
      <c r="T15" s="2"/>
      <c r="U15" s="2"/>
      <c r="V15" s="2" t="s">
        <v>20</v>
      </c>
      <c r="W15" s="2" t="s">
        <v>20</v>
      </c>
      <c r="X15" s="2"/>
      <c r="Y15" s="2"/>
      <c r="Z15" s="2"/>
      <c r="AA15" s="2"/>
      <c r="AB15" s="2"/>
      <c r="AC15" s="2" t="s">
        <v>20</v>
      </c>
      <c r="AD15" s="2" t="s">
        <v>20</v>
      </c>
      <c r="AE15" s="2"/>
      <c r="AF15" s="2"/>
      <c r="AG15" s="2"/>
      <c r="AH15" s="2"/>
      <c r="AI15" s="10">
        <f t="shared" si="0"/>
        <v>0</v>
      </c>
    </row>
    <row r="16" spans="1:38" x14ac:dyDescent="0.2">
      <c r="C16" t="s">
        <v>9</v>
      </c>
      <c r="D16" s="2"/>
      <c r="E16" s="2"/>
      <c r="F16" s="2"/>
      <c r="G16" s="2"/>
      <c r="H16" s="2" t="s">
        <v>20</v>
      </c>
      <c r="I16" s="2" t="s">
        <v>20</v>
      </c>
      <c r="J16" s="2"/>
      <c r="K16" s="2"/>
      <c r="L16" s="2"/>
      <c r="M16" s="2"/>
      <c r="N16" s="2"/>
      <c r="O16" s="2" t="s">
        <v>20</v>
      </c>
      <c r="P16" s="2" t="s">
        <v>20</v>
      </c>
      <c r="Q16" s="2"/>
      <c r="R16" s="2"/>
      <c r="S16" s="2"/>
      <c r="T16" s="2"/>
      <c r="U16" s="2"/>
      <c r="V16" s="2" t="s">
        <v>20</v>
      </c>
      <c r="W16" s="2" t="s">
        <v>20</v>
      </c>
      <c r="X16" s="2"/>
      <c r="Y16" s="2"/>
      <c r="Z16" s="2"/>
      <c r="AA16" s="2"/>
      <c r="AB16" s="2"/>
      <c r="AC16" s="2" t="s">
        <v>20</v>
      </c>
      <c r="AD16" s="2" t="s">
        <v>20</v>
      </c>
      <c r="AE16" s="2"/>
      <c r="AF16" s="2"/>
      <c r="AG16" s="2"/>
      <c r="AH16" s="2"/>
      <c r="AI16" s="10">
        <f t="shared" si="0"/>
        <v>0</v>
      </c>
    </row>
    <row r="17" spans="2:38" s="3" customFormat="1" x14ac:dyDescent="0.2">
      <c r="AI17" s="11">
        <f>SUM(AI9:AI16)</f>
        <v>70</v>
      </c>
      <c r="AK17" s="3">
        <f>SUM(AI17,AJ9:AK9)</f>
        <v>70</v>
      </c>
    </row>
    <row r="18" spans="2:38" x14ac:dyDescent="0.2">
      <c r="B18" s="6" t="s">
        <v>5</v>
      </c>
      <c r="C18" t="s">
        <v>6</v>
      </c>
      <c r="E18" s="2" t="s">
        <v>20</v>
      </c>
      <c r="F18" s="2" t="s">
        <v>20</v>
      </c>
      <c r="L18" s="2" t="s">
        <v>20</v>
      </c>
      <c r="M18" s="2" t="s">
        <v>20</v>
      </c>
      <c r="S18" s="2" t="s">
        <v>20</v>
      </c>
      <c r="T18" s="2" t="s">
        <v>20</v>
      </c>
      <c r="Z18" s="2" t="s">
        <v>20</v>
      </c>
      <c r="AA18" s="2" t="s">
        <v>20</v>
      </c>
      <c r="AG18" s="2" t="s">
        <v>20</v>
      </c>
      <c r="AH18" s="2" t="s">
        <v>20</v>
      </c>
      <c r="AI18" s="10">
        <f>SUM(D18,G18:K18,N18:R18,U18:Y18,AB18:AF18)</f>
        <v>0</v>
      </c>
      <c r="AJ18">
        <v>0</v>
      </c>
      <c r="AK18">
        <v>0</v>
      </c>
    </row>
    <row r="19" spans="2:38" x14ac:dyDescent="0.2">
      <c r="C19" t="s">
        <v>10</v>
      </c>
      <c r="E19" s="2" t="s">
        <v>20</v>
      </c>
      <c r="F19" s="2" t="s">
        <v>20</v>
      </c>
      <c r="L19" s="2" t="s">
        <v>20</v>
      </c>
      <c r="M19" s="2" t="s">
        <v>20</v>
      </c>
      <c r="S19" s="2" t="s">
        <v>20</v>
      </c>
      <c r="T19" s="2" t="s">
        <v>20</v>
      </c>
      <c r="Z19" s="2" t="s">
        <v>20</v>
      </c>
      <c r="AA19" s="2" t="s">
        <v>20</v>
      </c>
      <c r="AG19" s="2" t="s">
        <v>20</v>
      </c>
      <c r="AH19" s="2" t="s">
        <v>20</v>
      </c>
      <c r="AI19" s="10">
        <f t="shared" ref="AI19:AI25" si="1">SUM(D19,G19:K19,N19:R19,U19:Y19,AB19:AF19)</f>
        <v>0</v>
      </c>
    </row>
    <row r="20" spans="2:38" x14ac:dyDescent="0.2">
      <c r="B20" t="s">
        <v>28</v>
      </c>
      <c r="C20" t="s">
        <v>8</v>
      </c>
      <c r="E20" s="2" t="s">
        <v>20</v>
      </c>
      <c r="F20" s="2" t="s">
        <v>20</v>
      </c>
      <c r="L20" s="2" t="s">
        <v>20</v>
      </c>
      <c r="M20" s="2" t="s">
        <v>20</v>
      </c>
      <c r="S20" s="2" t="s">
        <v>20</v>
      </c>
      <c r="T20" s="2" t="s">
        <v>20</v>
      </c>
      <c r="Z20" s="2" t="s">
        <v>20</v>
      </c>
      <c r="AA20" s="2" t="s">
        <v>20</v>
      </c>
      <c r="AG20" s="2" t="s">
        <v>20</v>
      </c>
      <c r="AH20" s="2" t="s">
        <v>20</v>
      </c>
      <c r="AI20" s="10">
        <f t="shared" si="1"/>
        <v>0</v>
      </c>
    </row>
    <row r="21" spans="2:38" x14ac:dyDescent="0.2">
      <c r="C21" t="s">
        <v>13</v>
      </c>
      <c r="E21" s="2" t="s">
        <v>20</v>
      </c>
      <c r="F21" s="2" t="s">
        <v>20</v>
      </c>
      <c r="L21" s="2" t="s">
        <v>20</v>
      </c>
      <c r="M21" s="2" t="s">
        <v>20</v>
      </c>
      <c r="S21" s="2" t="s">
        <v>20</v>
      </c>
      <c r="T21" s="2" t="s">
        <v>20</v>
      </c>
      <c r="Z21" s="2" t="s">
        <v>20</v>
      </c>
      <c r="AA21" s="2" t="s">
        <v>20</v>
      </c>
      <c r="AG21" s="2" t="s">
        <v>20</v>
      </c>
      <c r="AH21" s="2" t="s">
        <v>20</v>
      </c>
      <c r="AI21" s="10">
        <f t="shared" si="1"/>
        <v>0</v>
      </c>
    </row>
    <row r="22" spans="2:38" x14ac:dyDescent="0.2">
      <c r="B22" s="6">
        <v>168</v>
      </c>
      <c r="C22" t="s">
        <v>11</v>
      </c>
      <c r="D22" t="s">
        <v>33</v>
      </c>
      <c r="E22" s="2" t="s">
        <v>20</v>
      </c>
      <c r="F22" s="2" t="s">
        <v>20</v>
      </c>
      <c r="G22">
        <v>5</v>
      </c>
      <c r="H22">
        <v>5</v>
      </c>
      <c r="I22">
        <v>5</v>
      </c>
      <c r="J22">
        <v>5</v>
      </c>
      <c r="K22">
        <v>5</v>
      </c>
      <c r="L22" s="2" t="s">
        <v>20</v>
      </c>
      <c r="M22" s="2" t="s">
        <v>20</v>
      </c>
      <c r="N22" t="s">
        <v>33</v>
      </c>
      <c r="O22">
        <v>5</v>
      </c>
      <c r="P22">
        <v>5</v>
      </c>
      <c r="Q22">
        <v>5</v>
      </c>
      <c r="R22">
        <v>5</v>
      </c>
      <c r="S22" s="2" t="s">
        <v>20</v>
      </c>
      <c r="T22" s="2" t="s">
        <v>20</v>
      </c>
      <c r="U22">
        <v>5</v>
      </c>
      <c r="V22">
        <v>5</v>
      </c>
      <c r="W22">
        <v>5</v>
      </c>
      <c r="X22">
        <v>5</v>
      </c>
      <c r="Y22">
        <v>5</v>
      </c>
      <c r="Z22" s="2" t="s">
        <v>20</v>
      </c>
      <c r="AA22" s="2" t="s">
        <v>20</v>
      </c>
      <c r="AB22">
        <v>5</v>
      </c>
      <c r="AC22">
        <v>5</v>
      </c>
      <c r="AD22">
        <v>5</v>
      </c>
      <c r="AE22">
        <v>5</v>
      </c>
      <c r="AF22">
        <v>5</v>
      </c>
      <c r="AG22" s="2" t="s">
        <v>20</v>
      </c>
      <c r="AH22" s="2" t="s">
        <v>20</v>
      </c>
      <c r="AI22" s="10">
        <f t="shared" si="1"/>
        <v>95</v>
      </c>
    </row>
    <row r="23" spans="2:38" x14ac:dyDescent="0.2">
      <c r="C23" t="s">
        <v>7</v>
      </c>
      <c r="E23" s="2" t="s">
        <v>20</v>
      </c>
      <c r="F23" s="2" t="s">
        <v>20</v>
      </c>
      <c r="L23" s="2" t="s">
        <v>20</v>
      </c>
      <c r="M23" s="2" t="s">
        <v>20</v>
      </c>
      <c r="S23" s="2" t="s">
        <v>20</v>
      </c>
      <c r="T23" s="2" t="s">
        <v>20</v>
      </c>
      <c r="Z23" s="2" t="s">
        <v>20</v>
      </c>
      <c r="AA23" s="2" t="s">
        <v>20</v>
      </c>
      <c r="AG23" s="2" t="s">
        <v>20</v>
      </c>
      <c r="AH23" s="2" t="s">
        <v>20</v>
      </c>
      <c r="AI23" s="10">
        <f t="shared" si="1"/>
        <v>0</v>
      </c>
    </row>
    <row r="24" spans="2:38" x14ac:dyDescent="0.2">
      <c r="C24" t="s">
        <v>12</v>
      </c>
      <c r="E24" s="2" t="s">
        <v>20</v>
      </c>
      <c r="F24" s="2" t="s">
        <v>20</v>
      </c>
      <c r="L24" s="2" t="s">
        <v>20</v>
      </c>
      <c r="M24" s="2" t="s">
        <v>20</v>
      </c>
      <c r="S24" s="2" t="s">
        <v>20</v>
      </c>
      <c r="T24" s="2" t="s">
        <v>20</v>
      </c>
      <c r="Z24" s="2" t="s">
        <v>20</v>
      </c>
      <c r="AA24" s="2" t="s">
        <v>20</v>
      </c>
      <c r="AG24" s="2" t="s">
        <v>20</v>
      </c>
      <c r="AH24" s="2" t="s">
        <v>20</v>
      </c>
      <c r="AI24" s="10">
        <f t="shared" si="1"/>
        <v>0</v>
      </c>
    </row>
    <row r="25" spans="2:38" x14ac:dyDescent="0.2">
      <c r="C25" t="s">
        <v>9</v>
      </c>
      <c r="E25" s="2" t="s">
        <v>20</v>
      </c>
      <c r="F25" s="2" t="s">
        <v>20</v>
      </c>
      <c r="L25" s="2" t="s">
        <v>20</v>
      </c>
      <c r="M25" s="2" t="s">
        <v>20</v>
      </c>
      <c r="S25" s="2" t="s">
        <v>20</v>
      </c>
      <c r="T25" s="2" t="s">
        <v>20</v>
      </c>
      <c r="Z25" s="2" t="s">
        <v>20</v>
      </c>
      <c r="AA25" s="2" t="s">
        <v>20</v>
      </c>
      <c r="AG25" s="2" t="s">
        <v>20</v>
      </c>
      <c r="AH25" s="2" t="s">
        <v>20</v>
      </c>
      <c r="AI25" s="10">
        <f t="shared" si="1"/>
        <v>0</v>
      </c>
    </row>
    <row r="26" spans="2:38" s="1" customFormat="1" x14ac:dyDescent="0.2">
      <c r="AI26" s="11">
        <f>SUM(AI18:AI25)</f>
        <v>95</v>
      </c>
      <c r="AK26" s="1">
        <f>SUM(AI26,AJ18:AK18)</f>
        <v>95</v>
      </c>
    </row>
    <row r="27" spans="2:38" x14ac:dyDescent="0.2">
      <c r="B27" t="s">
        <v>14</v>
      </c>
      <c r="C27" t="s">
        <v>6</v>
      </c>
      <c r="E27" s="2" t="s">
        <v>49</v>
      </c>
      <c r="F27" s="2" t="s">
        <v>49</v>
      </c>
      <c r="G27" s="2" t="s">
        <v>49</v>
      </c>
      <c r="I27" s="2" t="s">
        <v>20</v>
      </c>
      <c r="J27" s="2" t="s">
        <v>20</v>
      </c>
      <c r="P27" s="2" t="s">
        <v>20</v>
      </c>
      <c r="Q27" s="2" t="s">
        <v>20</v>
      </c>
      <c r="W27" s="2" t="s">
        <v>20</v>
      </c>
      <c r="X27" s="2" t="s">
        <v>20</v>
      </c>
      <c r="AD27" s="2" t="s">
        <v>20</v>
      </c>
      <c r="AE27" s="2" t="s">
        <v>20</v>
      </c>
      <c r="AG27" s="2"/>
      <c r="AH27" s="9"/>
      <c r="AI27" s="10">
        <f>SUM(D27:H27,K27:O27,R27:V27,Y27:AC27,AF27:AG27)</f>
        <v>0</v>
      </c>
      <c r="AJ27">
        <v>0</v>
      </c>
      <c r="AK27">
        <v>0</v>
      </c>
      <c r="AL27">
        <v>15</v>
      </c>
    </row>
    <row r="28" spans="2:38" x14ac:dyDescent="0.2">
      <c r="C28" t="s">
        <v>10</v>
      </c>
      <c r="E28" s="2" t="s">
        <v>49</v>
      </c>
      <c r="F28" s="2" t="s">
        <v>49</v>
      </c>
      <c r="G28" s="2" t="s">
        <v>49</v>
      </c>
      <c r="I28" s="2" t="s">
        <v>20</v>
      </c>
      <c r="J28" s="2" t="s">
        <v>20</v>
      </c>
      <c r="P28" s="2" t="s">
        <v>20</v>
      </c>
      <c r="Q28" s="2" t="s">
        <v>20</v>
      </c>
      <c r="W28" s="2" t="s">
        <v>20</v>
      </c>
      <c r="X28" s="2" t="s">
        <v>20</v>
      </c>
      <c r="AD28" s="2" t="s">
        <v>20</v>
      </c>
      <c r="AE28" s="2" t="s">
        <v>20</v>
      </c>
      <c r="AH28" s="9"/>
      <c r="AI28" s="10">
        <f t="shared" ref="AI28:AI34" si="2">SUM(D28:H28,K28:O28,R28:V28,Y28:AC28,AF28:AG28)</f>
        <v>0</v>
      </c>
    </row>
    <row r="29" spans="2:38" x14ac:dyDescent="0.2">
      <c r="B29" t="s">
        <v>29</v>
      </c>
      <c r="C29" t="s">
        <v>8</v>
      </c>
      <c r="E29" s="2" t="s">
        <v>49</v>
      </c>
      <c r="F29" s="2" t="s">
        <v>49</v>
      </c>
      <c r="G29" s="2" t="s">
        <v>49</v>
      </c>
      <c r="I29" s="2" t="s">
        <v>20</v>
      </c>
      <c r="J29" s="2" t="s">
        <v>20</v>
      </c>
      <c r="P29" s="2" t="s">
        <v>20</v>
      </c>
      <c r="Q29" s="2" t="s">
        <v>20</v>
      </c>
      <c r="W29" s="2" t="s">
        <v>20</v>
      </c>
      <c r="X29" s="2" t="s">
        <v>20</v>
      </c>
      <c r="AD29" s="2" t="s">
        <v>20</v>
      </c>
      <c r="AE29" s="2" t="s">
        <v>20</v>
      </c>
      <c r="AH29" s="9"/>
      <c r="AI29" s="10">
        <f t="shared" si="2"/>
        <v>0</v>
      </c>
    </row>
    <row r="30" spans="2:38" x14ac:dyDescent="0.2">
      <c r="C30" t="s">
        <v>13</v>
      </c>
      <c r="E30" s="2" t="s">
        <v>49</v>
      </c>
      <c r="F30" s="2" t="s">
        <v>49</v>
      </c>
      <c r="G30" s="2" t="s">
        <v>49</v>
      </c>
      <c r="I30" s="2" t="s">
        <v>20</v>
      </c>
      <c r="J30" s="2" t="s">
        <v>20</v>
      </c>
      <c r="P30" s="2" t="s">
        <v>20</v>
      </c>
      <c r="Q30" s="2" t="s">
        <v>20</v>
      </c>
      <c r="W30" s="2" t="s">
        <v>20</v>
      </c>
      <c r="X30" s="2" t="s">
        <v>20</v>
      </c>
      <c r="AD30" s="2" t="s">
        <v>20</v>
      </c>
      <c r="AE30" s="2" t="s">
        <v>20</v>
      </c>
      <c r="AH30" s="9"/>
      <c r="AI30" s="10">
        <f t="shared" si="2"/>
        <v>0</v>
      </c>
    </row>
    <row r="31" spans="2:38" x14ac:dyDescent="0.2">
      <c r="B31" s="6">
        <v>176</v>
      </c>
      <c r="C31" t="s">
        <v>11</v>
      </c>
      <c r="D31">
        <v>5</v>
      </c>
      <c r="E31" s="2" t="s">
        <v>49</v>
      </c>
      <c r="F31" s="2" t="s">
        <v>49</v>
      </c>
      <c r="G31" s="2" t="s">
        <v>49</v>
      </c>
      <c r="H31">
        <v>5</v>
      </c>
      <c r="I31" s="2" t="s">
        <v>20</v>
      </c>
      <c r="J31" s="2" t="s">
        <v>20</v>
      </c>
      <c r="K31">
        <v>5</v>
      </c>
      <c r="L31">
        <v>5</v>
      </c>
      <c r="M31">
        <v>5</v>
      </c>
      <c r="N31">
        <v>5</v>
      </c>
      <c r="O31">
        <v>5</v>
      </c>
      <c r="P31" s="2" t="s">
        <v>20</v>
      </c>
      <c r="Q31" s="2" t="s">
        <v>20</v>
      </c>
      <c r="R31">
        <v>5</v>
      </c>
      <c r="S31">
        <v>5</v>
      </c>
      <c r="T31">
        <v>5</v>
      </c>
      <c r="U31">
        <v>5</v>
      </c>
      <c r="V31">
        <v>5</v>
      </c>
      <c r="W31" s="2" t="s">
        <v>20</v>
      </c>
      <c r="X31" s="2" t="s">
        <v>20</v>
      </c>
      <c r="Y31">
        <v>5</v>
      </c>
      <c r="Z31">
        <v>5</v>
      </c>
      <c r="AA31">
        <v>5</v>
      </c>
      <c r="AB31">
        <v>5</v>
      </c>
      <c r="AC31">
        <v>5</v>
      </c>
      <c r="AD31" s="2" t="s">
        <v>20</v>
      </c>
      <c r="AE31" s="2" t="s">
        <v>20</v>
      </c>
      <c r="AF31">
        <v>5</v>
      </c>
      <c r="AG31">
        <v>5</v>
      </c>
      <c r="AH31" s="9"/>
      <c r="AI31" s="10">
        <f t="shared" si="2"/>
        <v>95</v>
      </c>
    </row>
    <row r="32" spans="2:38" x14ac:dyDescent="0.2">
      <c r="C32" t="s">
        <v>7</v>
      </c>
      <c r="E32" s="2" t="s">
        <v>49</v>
      </c>
      <c r="F32" s="2" t="s">
        <v>49</v>
      </c>
      <c r="G32" s="2" t="s">
        <v>49</v>
      </c>
      <c r="I32" s="2" t="s">
        <v>20</v>
      </c>
      <c r="J32" s="2" t="s">
        <v>20</v>
      </c>
      <c r="P32" s="2" t="s">
        <v>20</v>
      </c>
      <c r="Q32" s="2" t="s">
        <v>20</v>
      </c>
      <c r="W32" s="2" t="s">
        <v>20</v>
      </c>
      <c r="X32" s="2" t="s">
        <v>20</v>
      </c>
      <c r="AD32" s="2" t="s">
        <v>20</v>
      </c>
      <c r="AE32" s="2" t="s">
        <v>20</v>
      </c>
      <c r="AH32" s="9"/>
      <c r="AI32" s="10">
        <f t="shared" si="2"/>
        <v>0</v>
      </c>
    </row>
    <row r="33" spans="2:39" x14ac:dyDescent="0.2">
      <c r="C33" t="s">
        <v>12</v>
      </c>
      <c r="E33" s="2" t="s">
        <v>49</v>
      </c>
      <c r="F33" s="2" t="s">
        <v>49</v>
      </c>
      <c r="G33" s="2" t="s">
        <v>49</v>
      </c>
      <c r="I33" s="2" t="s">
        <v>20</v>
      </c>
      <c r="J33" s="2" t="s">
        <v>20</v>
      </c>
      <c r="P33" s="2" t="s">
        <v>20</v>
      </c>
      <c r="Q33" s="2" t="s">
        <v>20</v>
      </c>
      <c r="W33" s="2" t="s">
        <v>20</v>
      </c>
      <c r="X33" s="2" t="s">
        <v>20</v>
      </c>
      <c r="AD33" s="2" t="s">
        <v>20</v>
      </c>
      <c r="AE33" s="2" t="s">
        <v>20</v>
      </c>
      <c r="AH33" s="9"/>
      <c r="AI33" s="10">
        <f t="shared" si="2"/>
        <v>0</v>
      </c>
    </row>
    <row r="34" spans="2:39" x14ac:dyDescent="0.2">
      <c r="C34" t="s">
        <v>9</v>
      </c>
      <c r="E34" s="2" t="s">
        <v>49</v>
      </c>
      <c r="F34" s="2" t="s">
        <v>49</v>
      </c>
      <c r="G34" s="2" t="s">
        <v>49</v>
      </c>
      <c r="I34" s="2" t="s">
        <v>20</v>
      </c>
      <c r="J34" s="2" t="s">
        <v>20</v>
      </c>
      <c r="P34" s="2" t="s">
        <v>20</v>
      </c>
      <c r="Q34" s="2" t="s">
        <v>20</v>
      </c>
      <c r="W34" s="2" t="s">
        <v>20</v>
      </c>
      <c r="X34" s="2" t="s">
        <v>20</v>
      </c>
      <c r="AD34" s="2" t="s">
        <v>20</v>
      </c>
      <c r="AE34" s="2" t="s">
        <v>20</v>
      </c>
      <c r="AH34" s="9"/>
      <c r="AI34" s="10">
        <f t="shared" si="2"/>
        <v>0</v>
      </c>
    </row>
    <row r="35" spans="2:39" s="1" customFormat="1" x14ac:dyDescent="0.2">
      <c r="AI35" s="11">
        <f>SUM(AI27:AI34)</f>
        <v>95</v>
      </c>
      <c r="AM35" s="1">
        <f>SUM(AI35,AJ27:AL27)</f>
        <v>110</v>
      </c>
    </row>
    <row r="36" spans="2:39" x14ac:dyDescent="0.2">
      <c r="B36" t="s">
        <v>15</v>
      </c>
      <c r="C36" t="s">
        <v>16</v>
      </c>
      <c r="F36" s="4" t="s">
        <v>25</v>
      </c>
      <c r="G36" s="2" t="s">
        <v>20</v>
      </c>
      <c r="H36" s="2" t="s">
        <v>20</v>
      </c>
      <c r="N36" s="2" t="s">
        <v>20</v>
      </c>
      <c r="O36" s="2" t="s">
        <v>20</v>
      </c>
      <c r="P36" s="2" t="s">
        <v>33</v>
      </c>
      <c r="Q36" s="2" t="s">
        <v>33</v>
      </c>
      <c r="R36" s="2" t="s">
        <v>33</v>
      </c>
      <c r="S36" s="2" t="s">
        <v>33</v>
      </c>
      <c r="T36" s="2" t="s">
        <v>33</v>
      </c>
      <c r="U36" s="2" t="s">
        <v>20</v>
      </c>
      <c r="V36" s="2" t="s">
        <v>20</v>
      </c>
      <c r="AB36" s="2" t="s">
        <v>20</v>
      </c>
      <c r="AC36" s="2" t="s">
        <v>20</v>
      </c>
      <c r="AH36" s="4" t="s">
        <v>25</v>
      </c>
      <c r="AI36" s="10">
        <f>SUM(D36:E36,I36:M36,P36:T36,W36:AA36,AD36:AG36)</f>
        <v>0</v>
      </c>
      <c r="AJ36">
        <v>25</v>
      </c>
      <c r="AK36">
        <v>10</v>
      </c>
    </row>
    <row r="37" spans="2:39" x14ac:dyDescent="0.2">
      <c r="C37" t="s">
        <v>10</v>
      </c>
      <c r="F37" s="4" t="s">
        <v>25</v>
      </c>
      <c r="G37" s="2" t="s">
        <v>20</v>
      </c>
      <c r="H37" s="2" t="s">
        <v>20</v>
      </c>
      <c r="N37" s="2" t="s">
        <v>20</v>
      </c>
      <c r="O37" s="2" t="s">
        <v>20</v>
      </c>
      <c r="P37" s="2" t="s">
        <v>33</v>
      </c>
      <c r="Q37" s="2" t="s">
        <v>33</v>
      </c>
      <c r="R37" s="2" t="s">
        <v>33</v>
      </c>
      <c r="S37" s="2" t="s">
        <v>33</v>
      </c>
      <c r="T37" s="2" t="s">
        <v>33</v>
      </c>
      <c r="U37" s="2" t="s">
        <v>20</v>
      </c>
      <c r="V37" s="2" t="s">
        <v>20</v>
      </c>
      <c r="AB37" s="2" t="s">
        <v>20</v>
      </c>
      <c r="AC37" s="2" t="s">
        <v>20</v>
      </c>
      <c r="AH37" s="4" t="s">
        <v>25</v>
      </c>
      <c r="AI37" s="10">
        <f t="shared" ref="AI37:AI44" si="3">SUM(D37:E37,I37:M37,P37:T37,W37:AA37,AD37:AG37)</f>
        <v>0</v>
      </c>
    </row>
    <row r="38" spans="2:39" x14ac:dyDescent="0.2">
      <c r="B38" t="s">
        <v>28</v>
      </c>
      <c r="C38" t="s">
        <v>8</v>
      </c>
      <c r="F38" s="4" t="s">
        <v>25</v>
      </c>
      <c r="G38" s="2" t="s">
        <v>20</v>
      </c>
      <c r="H38" s="2" t="s">
        <v>20</v>
      </c>
      <c r="N38" s="2" t="s">
        <v>20</v>
      </c>
      <c r="O38" s="2" t="s">
        <v>20</v>
      </c>
      <c r="P38" s="2" t="s">
        <v>33</v>
      </c>
      <c r="Q38" s="2" t="s">
        <v>33</v>
      </c>
      <c r="R38" s="2" t="s">
        <v>33</v>
      </c>
      <c r="S38" s="2" t="s">
        <v>33</v>
      </c>
      <c r="T38" s="2" t="s">
        <v>33</v>
      </c>
      <c r="U38" s="2" t="s">
        <v>20</v>
      </c>
      <c r="V38" s="2" t="s">
        <v>20</v>
      </c>
      <c r="AB38" s="2" t="s">
        <v>20</v>
      </c>
      <c r="AC38" s="2" t="s">
        <v>20</v>
      </c>
      <c r="AH38" s="4" t="s">
        <v>25</v>
      </c>
      <c r="AI38" s="10">
        <f>SUM(D38:E38,I38:M38,P38:T38,W38:AA38,AD38:AG38)</f>
        <v>0</v>
      </c>
    </row>
    <row r="39" spans="2:39" x14ac:dyDescent="0.2">
      <c r="B39" t="s">
        <v>30</v>
      </c>
      <c r="C39" t="s">
        <v>13</v>
      </c>
      <c r="F39" s="4" t="s">
        <v>25</v>
      </c>
      <c r="G39" s="2" t="s">
        <v>20</v>
      </c>
      <c r="H39" s="2" t="s">
        <v>20</v>
      </c>
      <c r="N39" s="2" t="s">
        <v>20</v>
      </c>
      <c r="O39" s="2" t="s">
        <v>20</v>
      </c>
      <c r="P39" s="2" t="s">
        <v>33</v>
      </c>
      <c r="Q39" s="2" t="s">
        <v>33</v>
      </c>
      <c r="R39" s="2" t="s">
        <v>33</v>
      </c>
      <c r="S39" s="2" t="s">
        <v>33</v>
      </c>
      <c r="T39" s="2" t="s">
        <v>33</v>
      </c>
      <c r="U39" s="2" t="s">
        <v>20</v>
      </c>
      <c r="V39" s="2" t="s">
        <v>20</v>
      </c>
      <c r="AB39" s="2" t="s">
        <v>20</v>
      </c>
      <c r="AC39" s="2" t="s">
        <v>20</v>
      </c>
      <c r="AH39" s="4" t="s">
        <v>25</v>
      </c>
      <c r="AI39" s="10">
        <f>SUM(D39:E39,I39:M39,P39:T39,W39:AA39,AD39:AG39)</f>
        <v>0</v>
      </c>
    </row>
    <row r="40" spans="2:39" x14ac:dyDescent="0.2">
      <c r="B40" s="6">
        <v>184</v>
      </c>
      <c r="C40" t="s">
        <v>11</v>
      </c>
      <c r="D40">
        <v>5</v>
      </c>
      <c r="E40">
        <v>5</v>
      </c>
      <c r="F40" s="4" t="s">
        <v>25</v>
      </c>
      <c r="G40" s="2" t="s">
        <v>20</v>
      </c>
      <c r="H40" s="2" t="s">
        <v>20</v>
      </c>
      <c r="I40">
        <v>5</v>
      </c>
      <c r="J40">
        <v>5</v>
      </c>
      <c r="K40">
        <v>5</v>
      </c>
      <c r="L40">
        <v>5</v>
      </c>
      <c r="M40">
        <v>5</v>
      </c>
      <c r="N40" s="2" t="s">
        <v>20</v>
      </c>
      <c r="O40" s="2" t="s">
        <v>20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2" t="s">
        <v>20</v>
      </c>
      <c r="V40" s="2" t="s">
        <v>20</v>
      </c>
      <c r="W40">
        <v>5</v>
      </c>
      <c r="X40">
        <v>5</v>
      </c>
      <c r="Y40">
        <v>5</v>
      </c>
      <c r="Z40">
        <v>5</v>
      </c>
      <c r="AA40">
        <v>5</v>
      </c>
      <c r="AB40" s="2" t="s">
        <v>20</v>
      </c>
      <c r="AC40" s="2" t="s">
        <v>20</v>
      </c>
      <c r="AD40">
        <v>5</v>
      </c>
      <c r="AE40">
        <v>5</v>
      </c>
      <c r="AF40">
        <v>5</v>
      </c>
      <c r="AG40">
        <v>5</v>
      </c>
      <c r="AH40" s="4" t="s">
        <v>25</v>
      </c>
      <c r="AI40" s="10">
        <f t="shared" si="3"/>
        <v>80</v>
      </c>
    </row>
    <row r="41" spans="2:39" x14ac:dyDescent="0.2">
      <c r="C41" t="s">
        <v>35</v>
      </c>
      <c r="F41" s="4" t="s">
        <v>25</v>
      </c>
      <c r="G41" s="2" t="s">
        <v>20</v>
      </c>
      <c r="H41" s="2" t="s">
        <v>20</v>
      </c>
      <c r="N41" s="2" t="s">
        <v>20</v>
      </c>
      <c r="O41" s="2" t="s">
        <v>20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33</v>
      </c>
      <c r="U41" s="2" t="s">
        <v>20</v>
      </c>
      <c r="V41" s="2" t="s">
        <v>20</v>
      </c>
      <c r="AB41" s="2" t="s">
        <v>20</v>
      </c>
      <c r="AC41" s="2" t="s">
        <v>20</v>
      </c>
      <c r="AH41" s="4" t="s">
        <v>25</v>
      </c>
      <c r="AI41" s="10">
        <v>0</v>
      </c>
    </row>
    <row r="42" spans="2:39" x14ac:dyDescent="0.2">
      <c r="C42" t="s">
        <v>7</v>
      </c>
      <c r="F42" s="4" t="s">
        <v>25</v>
      </c>
      <c r="G42" s="2" t="s">
        <v>20</v>
      </c>
      <c r="H42" s="2" t="s">
        <v>20</v>
      </c>
      <c r="N42" s="2" t="s">
        <v>20</v>
      </c>
      <c r="O42" s="2" t="s">
        <v>20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33</v>
      </c>
      <c r="U42" s="2" t="s">
        <v>20</v>
      </c>
      <c r="V42" s="2" t="s">
        <v>20</v>
      </c>
      <c r="AB42" s="2" t="s">
        <v>20</v>
      </c>
      <c r="AC42" s="2" t="s">
        <v>20</v>
      </c>
      <c r="AH42" s="4" t="s">
        <v>25</v>
      </c>
      <c r="AI42" s="10">
        <f t="shared" si="3"/>
        <v>0</v>
      </c>
    </row>
    <row r="43" spans="2:39" x14ac:dyDescent="0.2">
      <c r="C43" t="s">
        <v>12</v>
      </c>
      <c r="D43">
        <v>3</v>
      </c>
      <c r="E43">
        <v>3</v>
      </c>
      <c r="F43" s="4" t="s">
        <v>25</v>
      </c>
      <c r="G43" s="2" t="s">
        <v>20</v>
      </c>
      <c r="H43" s="2" t="s">
        <v>20</v>
      </c>
      <c r="I43">
        <v>3</v>
      </c>
      <c r="J43">
        <v>3</v>
      </c>
      <c r="K43">
        <v>3</v>
      </c>
      <c r="L43">
        <v>3</v>
      </c>
      <c r="M43">
        <v>3</v>
      </c>
      <c r="N43" s="2" t="s">
        <v>20</v>
      </c>
      <c r="O43" s="2" t="s">
        <v>20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2" t="s">
        <v>20</v>
      </c>
      <c r="V43" s="2" t="s">
        <v>20</v>
      </c>
      <c r="W43">
        <v>3</v>
      </c>
      <c r="X43">
        <v>3</v>
      </c>
      <c r="Y43">
        <v>3</v>
      </c>
      <c r="Z43">
        <v>3</v>
      </c>
      <c r="AA43">
        <v>3</v>
      </c>
      <c r="AB43" s="2" t="s">
        <v>20</v>
      </c>
      <c r="AC43" s="2" t="s">
        <v>20</v>
      </c>
      <c r="AD43">
        <v>3</v>
      </c>
      <c r="AE43">
        <v>3</v>
      </c>
      <c r="AF43">
        <v>3</v>
      </c>
      <c r="AG43">
        <v>3</v>
      </c>
      <c r="AH43" s="4" t="s">
        <v>25</v>
      </c>
      <c r="AI43" s="10">
        <f t="shared" si="3"/>
        <v>48</v>
      </c>
    </row>
    <row r="44" spans="2:39" x14ac:dyDescent="0.2">
      <c r="C44" t="s">
        <v>9</v>
      </c>
      <c r="F44" s="4" t="s">
        <v>25</v>
      </c>
      <c r="G44" s="2" t="s">
        <v>20</v>
      </c>
      <c r="H44" s="2" t="s">
        <v>20</v>
      </c>
      <c r="N44" s="2" t="s">
        <v>20</v>
      </c>
      <c r="O44" s="2" t="s">
        <v>20</v>
      </c>
      <c r="P44" s="2" t="s">
        <v>33</v>
      </c>
      <c r="Q44" s="2" t="s">
        <v>33</v>
      </c>
      <c r="R44" s="2" t="s">
        <v>33</v>
      </c>
      <c r="S44" s="2" t="s">
        <v>33</v>
      </c>
      <c r="T44" s="2" t="s">
        <v>33</v>
      </c>
      <c r="U44" s="2" t="s">
        <v>20</v>
      </c>
      <c r="V44" s="2" t="s">
        <v>20</v>
      </c>
      <c r="AB44" s="2" t="s">
        <v>20</v>
      </c>
      <c r="AC44" s="2" t="s">
        <v>20</v>
      </c>
      <c r="AH44" s="4" t="s">
        <v>25</v>
      </c>
      <c r="AI44" s="10">
        <f t="shared" si="3"/>
        <v>0</v>
      </c>
    </row>
    <row r="45" spans="2:39" s="1" customFormat="1" x14ac:dyDescent="0.2">
      <c r="AI45" s="11">
        <f>SUM(AI36:AI44)</f>
        <v>128</v>
      </c>
      <c r="AM45" s="1">
        <f>SUM(AI45,AJ36:AL36)</f>
        <v>163</v>
      </c>
    </row>
    <row r="46" spans="2:39" x14ac:dyDescent="0.2">
      <c r="B46" t="s">
        <v>18</v>
      </c>
      <c r="C46" t="s">
        <v>16</v>
      </c>
      <c r="D46" s="2" t="s">
        <v>20</v>
      </c>
      <c r="E46" s="2" t="s">
        <v>20</v>
      </c>
      <c r="K46" s="2" t="s">
        <v>20</v>
      </c>
      <c r="L46" s="2" t="s">
        <v>20</v>
      </c>
      <c r="R46" s="2" t="s">
        <v>20</v>
      </c>
      <c r="S46" s="2" t="s">
        <v>20</v>
      </c>
      <c r="Y46" s="2" t="s">
        <v>20</v>
      </c>
      <c r="Z46" s="2" t="s">
        <v>20</v>
      </c>
      <c r="AF46" s="2" t="s">
        <v>20</v>
      </c>
      <c r="AG46" s="2" t="s">
        <v>20</v>
      </c>
      <c r="AH46" s="9"/>
      <c r="AI46" s="10">
        <f>SUM(F46:J46,M46:Q46,T46:X46,AA46:AE46)</f>
        <v>0</v>
      </c>
    </row>
    <row r="47" spans="2:39" x14ac:dyDescent="0.2">
      <c r="C47" t="s">
        <v>10</v>
      </c>
      <c r="D47" s="2" t="s">
        <v>20</v>
      </c>
      <c r="E47" s="2" t="s">
        <v>20</v>
      </c>
      <c r="K47" s="2" t="s">
        <v>20</v>
      </c>
      <c r="L47" s="2" t="s">
        <v>20</v>
      </c>
      <c r="R47" s="2" t="s">
        <v>20</v>
      </c>
      <c r="S47" s="2" t="s">
        <v>20</v>
      </c>
      <c r="Y47" s="2" t="s">
        <v>20</v>
      </c>
      <c r="Z47" s="2" t="s">
        <v>20</v>
      </c>
      <c r="AF47" s="2" t="s">
        <v>20</v>
      </c>
      <c r="AG47" s="2" t="s">
        <v>20</v>
      </c>
      <c r="AH47" s="9"/>
      <c r="AI47" s="10">
        <f t="shared" ref="AI47:AI54" si="4">SUM(F47:J47,M47:Q47,T47:X47,AA47:AE47)</f>
        <v>0</v>
      </c>
    </row>
    <row r="48" spans="2:39" x14ac:dyDescent="0.2">
      <c r="B48" t="s">
        <v>31</v>
      </c>
      <c r="C48" t="s">
        <v>8</v>
      </c>
      <c r="D48" s="2" t="s">
        <v>20</v>
      </c>
      <c r="E48" s="2" t="s">
        <v>20</v>
      </c>
      <c r="K48" s="2" t="s">
        <v>20</v>
      </c>
      <c r="L48" s="2" t="s">
        <v>20</v>
      </c>
      <c r="R48" s="2" t="s">
        <v>20</v>
      </c>
      <c r="S48" s="2" t="s">
        <v>20</v>
      </c>
      <c r="Y48" s="2" t="s">
        <v>20</v>
      </c>
      <c r="Z48" s="2" t="s">
        <v>20</v>
      </c>
      <c r="AF48" s="2" t="s">
        <v>20</v>
      </c>
      <c r="AG48" s="2" t="s">
        <v>20</v>
      </c>
      <c r="AH48" s="9"/>
      <c r="AI48" s="10">
        <f t="shared" si="4"/>
        <v>0</v>
      </c>
    </row>
    <row r="49" spans="2:37" x14ac:dyDescent="0.2">
      <c r="C49" t="s">
        <v>13</v>
      </c>
      <c r="D49" s="2" t="s">
        <v>20</v>
      </c>
      <c r="E49" s="2" t="s">
        <v>20</v>
      </c>
      <c r="K49" s="2" t="s">
        <v>20</v>
      </c>
      <c r="L49" s="2" t="s">
        <v>20</v>
      </c>
      <c r="R49" s="2" t="s">
        <v>20</v>
      </c>
      <c r="S49" s="2" t="s">
        <v>20</v>
      </c>
      <c r="Y49" s="2" t="s">
        <v>20</v>
      </c>
      <c r="Z49" s="2" t="s">
        <v>20</v>
      </c>
      <c r="AF49" s="2" t="s">
        <v>20</v>
      </c>
      <c r="AG49" s="2" t="s">
        <v>20</v>
      </c>
      <c r="AH49" s="9"/>
      <c r="AI49" s="10">
        <f t="shared" si="4"/>
        <v>0</v>
      </c>
    </row>
    <row r="50" spans="2:37" x14ac:dyDescent="0.2">
      <c r="B50" s="6">
        <v>160</v>
      </c>
      <c r="C50" t="s">
        <v>11</v>
      </c>
      <c r="D50" s="2" t="s">
        <v>20</v>
      </c>
      <c r="E50" s="2" t="s">
        <v>20</v>
      </c>
      <c r="K50" s="2" t="s">
        <v>20</v>
      </c>
      <c r="L50" s="2" t="s">
        <v>20</v>
      </c>
      <c r="R50" s="2" t="s">
        <v>20</v>
      </c>
      <c r="S50" s="2" t="s">
        <v>20</v>
      </c>
      <c r="T50">
        <v>5</v>
      </c>
      <c r="U50">
        <v>5</v>
      </c>
      <c r="V50">
        <v>5</v>
      </c>
      <c r="W50">
        <v>5</v>
      </c>
      <c r="X50">
        <v>5</v>
      </c>
      <c r="Y50" s="2" t="s">
        <v>20</v>
      </c>
      <c r="Z50" s="2" t="s">
        <v>20</v>
      </c>
      <c r="AF50" s="2" t="s">
        <v>20</v>
      </c>
      <c r="AG50" s="2" t="s">
        <v>20</v>
      </c>
      <c r="AH50" s="9"/>
      <c r="AI50" s="10">
        <f t="shared" si="4"/>
        <v>25</v>
      </c>
    </row>
    <row r="51" spans="2:37" x14ac:dyDescent="0.2">
      <c r="C51" t="s">
        <v>35</v>
      </c>
      <c r="D51" s="2" t="s">
        <v>20</v>
      </c>
      <c r="E51" s="2" t="s">
        <v>20</v>
      </c>
      <c r="K51" s="2" t="s">
        <v>20</v>
      </c>
      <c r="L51" s="2" t="s">
        <v>20</v>
      </c>
      <c r="R51" s="2" t="s">
        <v>20</v>
      </c>
      <c r="S51" s="2" t="s">
        <v>20</v>
      </c>
      <c r="Y51" s="2" t="s">
        <v>20</v>
      </c>
      <c r="Z51" s="2" t="s">
        <v>20</v>
      </c>
      <c r="AF51" s="2" t="s">
        <v>20</v>
      </c>
      <c r="AG51" s="2" t="s">
        <v>20</v>
      </c>
      <c r="AH51" s="9"/>
      <c r="AI51" s="10">
        <f t="shared" si="4"/>
        <v>0</v>
      </c>
    </row>
    <row r="52" spans="2:37" x14ac:dyDescent="0.2">
      <c r="C52" t="s">
        <v>7</v>
      </c>
      <c r="D52" s="2" t="s">
        <v>20</v>
      </c>
      <c r="E52" s="2" t="s">
        <v>20</v>
      </c>
      <c r="K52" s="2" t="s">
        <v>20</v>
      </c>
      <c r="L52" s="2" t="s">
        <v>20</v>
      </c>
      <c r="R52" s="2" t="s">
        <v>20</v>
      </c>
      <c r="S52" s="2" t="s">
        <v>20</v>
      </c>
      <c r="Y52" s="2" t="s">
        <v>20</v>
      </c>
      <c r="Z52" s="2" t="s">
        <v>20</v>
      </c>
      <c r="AF52" s="2" t="s">
        <v>20</v>
      </c>
      <c r="AG52" s="2" t="s">
        <v>20</v>
      </c>
      <c r="AH52" s="9"/>
      <c r="AI52" s="10">
        <f t="shared" si="4"/>
        <v>0</v>
      </c>
    </row>
    <row r="53" spans="2:37" x14ac:dyDescent="0.2">
      <c r="C53" t="s">
        <v>12</v>
      </c>
      <c r="D53" s="2" t="s">
        <v>20</v>
      </c>
      <c r="E53" s="2" t="s">
        <v>20</v>
      </c>
      <c r="F53">
        <v>8</v>
      </c>
      <c r="G53">
        <v>8</v>
      </c>
      <c r="H53">
        <v>8</v>
      </c>
      <c r="I53">
        <v>8</v>
      </c>
      <c r="J53">
        <v>8</v>
      </c>
      <c r="K53" s="2" t="s">
        <v>20</v>
      </c>
      <c r="L53" s="2" t="s">
        <v>20</v>
      </c>
      <c r="M53">
        <v>8</v>
      </c>
      <c r="N53">
        <v>8</v>
      </c>
      <c r="O53">
        <v>8</v>
      </c>
      <c r="P53">
        <v>8</v>
      </c>
      <c r="Q53">
        <v>8</v>
      </c>
      <c r="R53" s="2" t="s">
        <v>20</v>
      </c>
      <c r="S53" s="2" t="s">
        <v>20</v>
      </c>
      <c r="T53">
        <v>3</v>
      </c>
      <c r="U53">
        <v>3</v>
      </c>
      <c r="V53">
        <v>3</v>
      </c>
      <c r="W53">
        <v>3</v>
      </c>
      <c r="X53">
        <v>3</v>
      </c>
      <c r="Y53" s="2" t="s">
        <v>20</v>
      </c>
      <c r="Z53" s="2" t="s">
        <v>20</v>
      </c>
      <c r="AA53">
        <v>8</v>
      </c>
      <c r="AB53">
        <v>8</v>
      </c>
      <c r="AC53">
        <v>8</v>
      </c>
      <c r="AD53">
        <v>8</v>
      </c>
      <c r="AE53">
        <v>8</v>
      </c>
      <c r="AF53" s="2" t="s">
        <v>20</v>
      </c>
      <c r="AG53" s="2" t="s">
        <v>20</v>
      </c>
      <c r="AH53" s="9"/>
      <c r="AI53" s="10">
        <f t="shared" si="4"/>
        <v>135</v>
      </c>
    </row>
    <row r="54" spans="2:37" x14ac:dyDescent="0.2">
      <c r="C54" t="s">
        <v>9</v>
      </c>
      <c r="D54" s="2" t="s">
        <v>20</v>
      </c>
      <c r="E54" s="2" t="s">
        <v>20</v>
      </c>
      <c r="K54" s="2" t="s">
        <v>20</v>
      </c>
      <c r="L54" s="2" t="s">
        <v>20</v>
      </c>
      <c r="R54" s="2" t="s">
        <v>20</v>
      </c>
      <c r="S54" s="2" t="s">
        <v>20</v>
      </c>
      <c r="Y54" s="2" t="s">
        <v>20</v>
      </c>
      <c r="Z54" s="2" t="s">
        <v>20</v>
      </c>
      <c r="AF54" s="2" t="s">
        <v>20</v>
      </c>
      <c r="AG54" s="2" t="s">
        <v>20</v>
      </c>
      <c r="AH54" s="9"/>
      <c r="AI54" s="10">
        <f t="shared" si="4"/>
        <v>0</v>
      </c>
    </row>
    <row r="55" spans="2:37" s="1" customFormat="1" x14ac:dyDescent="0.2">
      <c r="AI55" s="11">
        <f>SUM(AI46:AI54)</f>
        <v>160</v>
      </c>
      <c r="AK55" s="1">
        <f>SUM(AI55,AJ46:AK46)</f>
        <v>160</v>
      </c>
    </row>
    <row r="56" spans="2:37" x14ac:dyDescent="0.2">
      <c r="B56" t="s">
        <v>19</v>
      </c>
      <c r="C56" t="s">
        <v>16</v>
      </c>
      <c r="I56" s="2" t="s">
        <v>20</v>
      </c>
      <c r="J56" s="2" t="s">
        <v>20</v>
      </c>
      <c r="P56" s="2" t="s">
        <v>20</v>
      </c>
      <c r="Q56" s="2" t="s">
        <v>20</v>
      </c>
      <c r="W56" s="2" t="s">
        <v>20</v>
      </c>
      <c r="X56" s="2" t="s">
        <v>20</v>
      </c>
      <c r="Y56" s="2" t="s">
        <v>33</v>
      </c>
      <c r="Z56" s="2" t="s">
        <v>33</v>
      </c>
      <c r="AA56" s="2" t="s">
        <v>33</v>
      </c>
      <c r="AB56" s="4" t="s">
        <v>25</v>
      </c>
      <c r="AC56" s="4" t="s">
        <v>25</v>
      </c>
      <c r="AD56" s="2" t="s">
        <v>20</v>
      </c>
      <c r="AE56" s="2" t="s">
        <v>20</v>
      </c>
      <c r="AF56" s="2" t="s">
        <v>33</v>
      </c>
      <c r="AG56" s="2" t="s">
        <v>33</v>
      </c>
      <c r="AH56" s="2" t="s">
        <v>33</v>
      </c>
      <c r="AI56" s="10">
        <f>SUM(D56:H56,K56:O56,R56:V56)</f>
        <v>0</v>
      </c>
      <c r="AJ56">
        <v>30</v>
      </c>
      <c r="AK56">
        <v>10</v>
      </c>
    </row>
    <row r="57" spans="2:37" x14ac:dyDescent="0.2">
      <c r="C57" t="s">
        <v>10</v>
      </c>
      <c r="I57" s="2" t="s">
        <v>20</v>
      </c>
      <c r="J57" s="2" t="s">
        <v>20</v>
      </c>
      <c r="P57" s="2" t="s">
        <v>20</v>
      </c>
      <c r="Q57" s="2" t="s">
        <v>20</v>
      </c>
      <c r="W57" s="2" t="s">
        <v>20</v>
      </c>
      <c r="X57" s="2" t="s">
        <v>20</v>
      </c>
      <c r="Y57" s="2" t="s">
        <v>33</v>
      </c>
      <c r="Z57" s="2" t="s">
        <v>33</v>
      </c>
      <c r="AA57" s="2" t="s">
        <v>33</v>
      </c>
      <c r="AB57" s="4" t="s">
        <v>25</v>
      </c>
      <c r="AC57" s="4" t="s">
        <v>25</v>
      </c>
      <c r="AD57" s="2" t="s">
        <v>20</v>
      </c>
      <c r="AE57" s="2" t="s">
        <v>20</v>
      </c>
      <c r="AF57" s="2" t="s">
        <v>33</v>
      </c>
      <c r="AG57" s="2" t="s">
        <v>33</v>
      </c>
      <c r="AH57" s="2" t="s">
        <v>33</v>
      </c>
      <c r="AI57" s="10">
        <f t="shared" ref="AI57:AI64" si="5">SUM(D57:H57,K57:O57,R57:V57)</f>
        <v>0</v>
      </c>
    </row>
    <row r="58" spans="2:37" x14ac:dyDescent="0.2">
      <c r="B58" t="s">
        <v>38</v>
      </c>
      <c r="C58" t="s">
        <v>8</v>
      </c>
      <c r="I58" s="2" t="s">
        <v>20</v>
      </c>
      <c r="J58" s="2" t="s">
        <v>20</v>
      </c>
      <c r="P58" s="2" t="s">
        <v>20</v>
      </c>
      <c r="Q58" s="2" t="s">
        <v>20</v>
      </c>
      <c r="W58" s="2" t="s">
        <v>20</v>
      </c>
      <c r="X58" s="2" t="s">
        <v>20</v>
      </c>
      <c r="Y58" s="2" t="s">
        <v>33</v>
      </c>
      <c r="Z58" s="2" t="s">
        <v>33</v>
      </c>
      <c r="AA58" s="2" t="s">
        <v>33</v>
      </c>
      <c r="AB58" s="4" t="s">
        <v>25</v>
      </c>
      <c r="AC58" s="4" t="s">
        <v>25</v>
      </c>
      <c r="AD58" s="2" t="s">
        <v>20</v>
      </c>
      <c r="AE58" s="2" t="s">
        <v>20</v>
      </c>
      <c r="AF58" s="2" t="s">
        <v>33</v>
      </c>
      <c r="AG58" s="2" t="s">
        <v>33</v>
      </c>
      <c r="AH58" s="2" t="s">
        <v>33</v>
      </c>
      <c r="AI58" s="10">
        <f t="shared" si="5"/>
        <v>0</v>
      </c>
    </row>
    <row r="59" spans="2:37" x14ac:dyDescent="0.2">
      <c r="C59" t="s">
        <v>13</v>
      </c>
      <c r="I59" s="2" t="s">
        <v>20</v>
      </c>
      <c r="J59" s="2" t="s">
        <v>20</v>
      </c>
      <c r="P59" s="2" t="s">
        <v>20</v>
      </c>
      <c r="Q59" s="2" t="s">
        <v>20</v>
      </c>
      <c r="W59" s="2" t="s">
        <v>20</v>
      </c>
      <c r="X59" s="2" t="s">
        <v>20</v>
      </c>
      <c r="Y59" s="2" t="s">
        <v>33</v>
      </c>
      <c r="Z59" s="2" t="s">
        <v>33</v>
      </c>
      <c r="AA59" s="2" t="s">
        <v>33</v>
      </c>
      <c r="AB59" s="4" t="s">
        <v>25</v>
      </c>
      <c r="AC59" s="4" t="s">
        <v>25</v>
      </c>
      <c r="AD59" s="2" t="s">
        <v>20</v>
      </c>
      <c r="AE59" s="2" t="s">
        <v>20</v>
      </c>
      <c r="AF59" s="2" t="s">
        <v>33</v>
      </c>
      <c r="AG59" s="2" t="s">
        <v>33</v>
      </c>
      <c r="AH59" s="2" t="s">
        <v>33</v>
      </c>
      <c r="AI59" s="10">
        <f t="shared" si="5"/>
        <v>0</v>
      </c>
    </row>
    <row r="60" spans="2:37" x14ac:dyDescent="0.2">
      <c r="B60" t="s">
        <v>30</v>
      </c>
      <c r="C60" t="s">
        <v>11</v>
      </c>
      <c r="D60">
        <v>5</v>
      </c>
      <c r="E60">
        <v>5</v>
      </c>
      <c r="F60">
        <v>5</v>
      </c>
      <c r="G60">
        <v>5</v>
      </c>
      <c r="H60">
        <v>5</v>
      </c>
      <c r="I60" s="2" t="s">
        <v>20</v>
      </c>
      <c r="J60" s="2" t="s">
        <v>20</v>
      </c>
      <c r="K60">
        <v>5</v>
      </c>
      <c r="L60">
        <v>5</v>
      </c>
      <c r="M60">
        <v>5</v>
      </c>
      <c r="N60">
        <v>5</v>
      </c>
      <c r="O60">
        <v>5</v>
      </c>
      <c r="P60" s="2" t="s">
        <v>20</v>
      </c>
      <c r="Q60" s="2" t="s">
        <v>20</v>
      </c>
      <c r="R60">
        <v>5</v>
      </c>
      <c r="S60">
        <v>5</v>
      </c>
      <c r="T60">
        <v>5</v>
      </c>
      <c r="U60">
        <v>5</v>
      </c>
      <c r="V60">
        <v>5</v>
      </c>
      <c r="W60" s="2" t="s">
        <v>20</v>
      </c>
      <c r="X60" s="2" t="s">
        <v>20</v>
      </c>
      <c r="Y60" s="2" t="s">
        <v>33</v>
      </c>
      <c r="Z60" s="2" t="s">
        <v>33</v>
      </c>
      <c r="AA60" s="2" t="s">
        <v>33</v>
      </c>
      <c r="AB60" s="4" t="s">
        <v>25</v>
      </c>
      <c r="AC60" s="4" t="s">
        <v>25</v>
      </c>
      <c r="AD60" s="2" t="s">
        <v>20</v>
      </c>
      <c r="AE60" s="2" t="s">
        <v>20</v>
      </c>
      <c r="AF60" s="2" t="s">
        <v>33</v>
      </c>
      <c r="AG60" s="2" t="s">
        <v>33</v>
      </c>
      <c r="AH60" s="2" t="s">
        <v>33</v>
      </c>
      <c r="AI60" s="10">
        <f t="shared" si="5"/>
        <v>75</v>
      </c>
    </row>
    <row r="61" spans="2:37" x14ac:dyDescent="0.2">
      <c r="B61" t="s">
        <v>39</v>
      </c>
      <c r="C61" t="s">
        <v>35</v>
      </c>
      <c r="I61" s="2" t="s">
        <v>20</v>
      </c>
      <c r="J61" s="2" t="s">
        <v>20</v>
      </c>
      <c r="P61" s="2" t="s">
        <v>20</v>
      </c>
      <c r="Q61" s="2" t="s">
        <v>20</v>
      </c>
      <c r="W61" s="2" t="s">
        <v>20</v>
      </c>
      <c r="X61" s="2" t="s">
        <v>20</v>
      </c>
      <c r="Y61" s="2" t="s">
        <v>33</v>
      </c>
      <c r="Z61" s="2" t="s">
        <v>33</v>
      </c>
      <c r="AA61" s="2" t="s">
        <v>33</v>
      </c>
      <c r="AB61" s="4" t="s">
        <v>25</v>
      </c>
      <c r="AC61" s="4" t="s">
        <v>25</v>
      </c>
      <c r="AD61" s="2" t="s">
        <v>20</v>
      </c>
      <c r="AE61" s="2" t="s">
        <v>20</v>
      </c>
      <c r="AF61" s="2" t="s">
        <v>33</v>
      </c>
      <c r="AG61" s="2" t="s">
        <v>33</v>
      </c>
      <c r="AH61" s="2" t="s">
        <v>33</v>
      </c>
      <c r="AI61" s="10">
        <f t="shared" si="5"/>
        <v>0</v>
      </c>
    </row>
    <row r="62" spans="2:37" x14ac:dyDescent="0.2">
      <c r="C62" t="s">
        <v>7</v>
      </c>
      <c r="I62" s="2" t="s">
        <v>20</v>
      </c>
      <c r="J62" s="2" t="s">
        <v>20</v>
      </c>
      <c r="P62" s="2" t="s">
        <v>20</v>
      </c>
      <c r="Q62" s="2" t="s">
        <v>20</v>
      </c>
      <c r="W62" s="2" t="s">
        <v>20</v>
      </c>
      <c r="X62" s="2" t="s">
        <v>20</v>
      </c>
      <c r="Y62" s="2" t="s">
        <v>33</v>
      </c>
      <c r="Z62" s="2" t="s">
        <v>33</v>
      </c>
      <c r="AA62" s="2" t="s">
        <v>33</v>
      </c>
      <c r="AB62" s="4" t="s">
        <v>25</v>
      </c>
      <c r="AC62" s="4" t="s">
        <v>25</v>
      </c>
      <c r="AD62" s="2" t="s">
        <v>20</v>
      </c>
      <c r="AE62" s="2" t="s">
        <v>20</v>
      </c>
      <c r="AF62" s="2" t="s">
        <v>33</v>
      </c>
      <c r="AG62" s="2" t="s">
        <v>33</v>
      </c>
      <c r="AH62" s="2" t="s">
        <v>33</v>
      </c>
      <c r="AI62" s="10">
        <f t="shared" si="5"/>
        <v>0</v>
      </c>
    </row>
    <row r="63" spans="2:37" x14ac:dyDescent="0.2">
      <c r="B63" s="6">
        <v>120</v>
      </c>
      <c r="C63" t="s">
        <v>12</v>
      </c>
      <c r="I63" s="2" t="s">
        <v>20</v>
      </c>
      <c r="J63" s="2" t="s">
        <v>20</v>
      </c>
      <c r="P63" s="2" t="s">
        <v>20</v>
      </c>
      <c r="Q63" s="2" t="s">
        <v>20</v>
      </c>
      <c r="W63" s="2" t="s">
        <v>20</v>
      </c>
      <c r="X63" s="2" t="s">
        <v>20</v>
      </c>
      <c r="Y63" s="2" t="s">
        <v>33</v>
      </c>
      <c r="Z63" s="2" t="s">
        <v>33</v>
      </c>
      <c r="AA63" s="2" t="s">
        <v>33</v>
      </c>
      <c r="AB63" s="4" t="s">
        <v>25</v>
      </c>
      <c r="AC63" s="4" t="s">
        <v>25</v>
      </c>
      <c r="AD63" s="2" t="s">
        <v>20</v>
      </c>
      <c r="AE63" s="2" t="s">
        <v>20</v>
      </c>
      <c r="AF63" s="2" t="s">
        <v>33</v>
      </c>
      <c r="AG63" s="2" t="s">
        <v>33</v>
      </c>
      <c r="AH63" s="2" t="s">
        <v>33</v>
      </c>
      <c r="AI63" s="10">
        <f t="shared" si="5"/>
        <v>0</v>
      </c>
    </row>
    <row r="64" spans="2:37" x14ac:dyDescent="0.2">
      <c r="C64" t="s">
        <v>9</v>
      </c>
      <c r="I64" s="2" t="s">
        <v>20</v>
      </c>
      <c r="J64" s="2" t="s">
        <v>20</v>
      </c>
      <c r="P64" s="2" t="s">
        <v>20</v>
      </c>
      <c r="Q64" s="2" t="s">
        <v>20</v>
      </c>
      <c r="W64" s="2" t="s">
        <v>20</v>
      </c>
      <c r="X64" s="2" t="s">
        <v>20</v>
      </c>
      <c r="Y64" s="2" t="s">
        <v>33</v>
      </c>
      <c r="Z64" s="2" t="s">
        <v>33</v>
      </c>
      <c r="AA64" s="2" t="s">
        <v>33</v>
      </c>
      <c r="AB64" s="4" t="s">
        <v>25</v>
      </c>
      <c r="AC64" s="4" t="s">
        <v>25</v>
      </c>
      <c r="AD64" s="2" t="s">
        <v>20</v>
      </c>
      <c r="AE64" s="2" t="s">
        <v>20</v>
      </c>
      <c r="AF64" s="2" t="s">
        <v>33</v>
      </c>
      <c r="AG64" s="2" t="s">
        <v>33</v>
      </c>
      <c r="AH64" s="2" t="s">
        <v>33</v>
      </c>
      <c r="AI64" s="10">
        <f t="shared" si="5"/>
        <v>0</v>
      </c>
    </row>
    <row r="65" spans="2:39" s="1" customFormat="1" x14ac:dyDescent="0.2">
      <c r="AI65" s="11">
        <f>SUM(AI56:AI64)</f>
        <v>75</v>
      </c>
      <c r="AM65" s="1">
        <f>SUM(AI65,AJ56:AM56)</f>
        <v>115</v>
      </c>
    </row>
    <row r="66" spans="2:39" x14ac:dyDescent="0.2">
      <c r="B66" t="s">
        <v>41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67DD-11D7-411D-B837-1C8923EB5D22}">
  <dimension ref="A1:AK66"/>
  <sheetViews>
    <sheetView topLeftCell="A7" zoomScale="160" zoomScaleNormal="160" workbookViewId="0">
      <selection activeCell="AE53" sqref="AE53"/>
    </sheetView>
  </sheetViews>
  <sheetFormatPr baseColWidth="10" defaultRowHeight="15" x14ac:dyDescent="0.2"/>
  <cols>
    <col min="1" max="2" width="14.83203125" customWidth="1"/>
    <col min="3" max="3" width="18.1640625" customWidth="1"/>
    <col min="4" max="34" width="6.83203125" customWidth="1"/>
    <col min="35" max="35" width="15.33203125" style="10" customWidth="1"/>
    <col min="36" max="36" width="15.33203125" customWidth="1"/>
  </cols>
  <sheetData>
    <row r="1" spans="1:37" x14ac:dyDescent="0.2">
      <c r="A1" t="s">
        <v>3</v>
      </c>
      <c r="B1" s="8">
        <v>2025</v>
      </c>
      <c r="F1" t="s">
        <v>21</v>
      </c>
      <c r="AA1" s="12" t="s">
        <v>63</v>
      </c>
    </row>
    <row r="2" spans="1:37" x14ac:dyDescent="0.2">
      <c r="A2" t="s">
        <v>2</v>
      </c>
      <c r="B2" s="6" t="s">
        <v>17</v>
      </c>
      <c r="C2" s="7" t="s">
        <v>45</v>
      </c>
      <c r="F2" t="s">
        <v>22</v>
      </c>
      <c r="AA2" s="12" t="s">
        <v>64</v>
      </c>
    </row>
    <row r="3" spans="1:37" x14ac:dyDescent="0.2">
      <c r="F3" t="s">
        <v>23</v>
      </c>
    </row>
    <row r="4" spans="1:37" x14ac:dyDescent="0.2">
      <c r="F4" t="s">
        <v>24</v>
      </c>
    </row>
    <row r="5" spans="1:37" x14ac:dyDescent="0.2">
      <c r="F5" t="s">
        <v>26</v>
      </c>
    </row>
    <row r="6" spans="1:37" x14ac:dyDescent="0.2">
      <c r="F6" t="s">
        <v>51</v>
      </c>
    </row>
    <row r="7" spans="1:37" x14ac:dyDescent="0.2">
      <c r="D7" s="1" t="s">
        <v>4</v>
      </c>
    </row>
    <row r="8" spans="1:37" s="3" customFormat="1" x14ac:dyDescent="0.2">
      <c r="A8" s="3" t="s">
        <v>0</v>
      </c>
      <c r="B8" s="3" t="s">
        <v>0</v>
      </c>
      <c r="C8" s="3" t="s">
        <v>1</v>
      </c>
      <c r="D8" s="3">
        <v>1</v>
      </c>
      <c r="E8" s="3">
        <v>2</v>
      </c>
      <c r="F8" s="3">
        <v>3</v>
      </c>
      <c r="G8" s="3">
        <v>4</v>
      </c>
      <c r="H8" s="3">
        <v>5</v>
      </c>
      <c r="I8" s="3">
        <v>6</v>
      </c>
      <c r="J8" s="3">
        <v>7</v>
      </c>
      <c r="K8" s="3">
        <v>8</v>
      </c>
      <c r="L8" s="3">
        <v>9</v>
      </c>
      <c r="M8" s="3">
        <v>10</v>
      </c>
      <c r="N8" s="3">
        <v>11</v>
      </c>
      <c r="O8" s="3">
        <v>12</v>
      </c>
      <c r="P8" s="3">
        <v>13</v>
      </c>
      <c r="Q8" s="3">
        <v>14</v>
      </c>
      <c r="R8" s="3">
        <v>15</v>
      </c>
      <c r="S8" s="3">
        <v>16</v>
      </c>
      <c r="T8" s="3">
        <v>17</v>
      </c>
      <c r="U8" s="3">
        <v>18</v>
      </c>
      <c r="V8" s="3">
        <v>19</v>
      </c>
      <c r="W8" s="3">
        <v>20</v>
      </c>
      <c r="X8" s="3">
        <v>21</v>
      </c>
      <c r="Y8" s="3">
        <v>22</v>
      </c>
      <c r="Z8" s="3">
        <v>23</v>
      </c>
      <c r="AA8" s="3">
        <v>24</v>
      </c>
      <c r="AB8" s="3">
        <v>25</v>
      </c>
      <c r="AC8" s="3">
        <v>26</v>
      </c>
      <c r="AD8" s="3">
        <v>27</v>
      </c>
      <c r="AE8" s="3">
        <v>28</v>
      </c>
      <c r="AF8" s="3">
        <v>29</v>
      </c>
      <c r="AG8" s="3">
        <v>30</v>
      </c>
      <c r="AH8" s="3">
        <v>31</v>
      </c>
      <c r="AI8" s="11" t="s">
        <v>34</v>
      </c>
      <c r="AJ8" s="3" t="s">
        <v>36</v>
      </c>
      <c r="AK8" s="3" t="s">
        <v>37</v>
      </c>
    </row>
    <row r="9" spans="1:37" x14ac:dyDescent="0.2">
      <c r="B9" t="s">
        <v>41</v>
      </c>
      <c r="C9" t="s">
        <v>6</v>
      </c>
      <c r="E9" s="2"/>
      <c r="F9" s="2"/>
      <c r="H9" s="2" t="s">
        <v>20</v>
      </c>
      <c r="I9" s="2" t="s">
        <v>20</v>
      </c>
      <c r="L9" s="2"/>
      <c r="M9" s="2"/>
      <c r="O9" s="2" t="s">
        <v>20</v>
      </c>
      <c r="P9" s="2" t="s">
        <v>20</v>
      </c>
      <c r="S9" s="2"/>
      <c r="T9" s="2"/>
      <c r="V9" s="2" t="s">
        <v>20</v>
      </c>
      <c r="W9" s="2" t="s">
        <v>20</v>
      </c>
      <c r="Z9" s="2"/>
      <c r="AA9" s="2"/>
      <c r="AC9" s="2" t="s">
        <v>20</v>
      </c>
      <c r="AD9" s="2" t="s">
        <v>20</v>
      </c>
      <c r="AG9" s="2"/>
      <c r="AH9" s="2"/>
      <c r="AI9" s="10">
        <f>SUM(D9:G9,J9:N9,Q9:U9,X9:AB9,AE9:AH9)</f>
        <v>0</v>
      </c>
      <c r="AJ9">
        <v>64</v>
      </c>
      <c r="AK9">
        <v>0</v>
      </c>
    </row>
    <row r="10" spans="1:37" x14ac:dyDescent="0.2">
      <c r="C10" t="s">
        <v>10</v>
      </c>
      <c r="E10" s="2"/>
      <c r="F10" s="2"/>
      <c r="H10" s="2" t="s">
        <v>20</v>
      </c>
      <c r="I10" s="2" t="s">
        <v>20</v>
      </c>
      <c r="L10" s="2"/>
      <c r="M10" s="2"/>
      <c r="O10" s="2" t="s">
        <v>20</v>
      </c>
      <c r="P10" s="2" t="s">
        <v>20</v>
      </c>
      <c r="S10" s="2"/>
      <c r="T10" s="2"/>
      <c r="V10" s="2" t="s">
        <v>20</v>
      </c>
      <c r="W10" s="2" t="s">
        <v>20</v>
      </c>
      <c r="Z10" s="2"/>
      <c r="AA10" s="2"/>
      <c r="AC10" s="2" t="s">
        <v>20</v>
      </c>
      <c r="AD10" s="2" t="s">
        <v>20</v>
      </c>
      <c r="AG10" s="2"/>
      <c r="AH10" s="2"/>
      <c r="AI10" s="10">
        <f t="shared" ref="AI10:AI16" si="0">SUM(D10:G10,J10:N10,Q10:U10,X10:AB10,AE10:AH10)</f>
        <v>0</v>
      </c>
    </row>
    <row r="11" spans="1:37" x14ac:dyDescent="0.2">
      <c r="B11" t="s">
        <v>42</v>
      </c>
      <c r="C11" t="s">
        <v>8</v>
      </c>
      <c r="E11" s="2"/>
      <c r="F11" s="2"/>
      <c r="H11" s="2" t="s">
        <v>20</v>
      </c>
      <c r="I11" s="2" t="s">
        <v>20</v>
      </c>
      <c r="L11" s="2"/>
      <c r="M11" s="2"/>
      <c r="O11" s="2" t="s">
        <v>20</v>
      </c>
      <c r="P11" s="2" t="s">
        <v>20</v>
      </c>
      <c r="S11" s="2"/>
      <c r="T11" s="2"/>
      <c r="V11" s="2" t="s">
        <v>20</v>
      </c>
      <c r="W11" s="2" t="s">
        <v>20</v>
      </c>
      <c r="Z11" s="2"/>
      <c r="AA11" s="2"/>
      <c r="AC11" s="2" t="s">
        <v>20</v>
      </c>
      <c r="AD11" s="2" t="s">
        <v>20</v>
      </c>
      <c r="AG11" s="2"/>
      <c r="AH11" s="2"/>
      <c r="AI11" s="10">
        <f t="shared" si="0"/>
        <v>0</v>
      </c>
    </row>
    <row r="12" spans="1:37" x14ac:dyDescent="0.2">
      <c r="C12" t="s">
        <v>13</v>
      </c>
      <c r="E12" s="2"/>
      <c r="F12" s="2"/>
      <c r="H12" s="2" t="s">
        <v>20</v>
      </c>
      <c r="I12" s="2" t="s">
        <v>20</v>
      </c>
      <c r="L12" s="2"/>
      <c r="M12" s="2"/>
      <c r="O12" s="2" t="s">
        <v>20</v>
      </c>
      <c r="P12" s="2" t="s">
        <v>20</v>
      </c>
      <c r="S12" s="2"/>
      <c r="T12" s="2"/>
      <c r="V12" s="2" t="s">
        <v>20</v>
      </c>
      <c r="W12" s="2" t="s">
        <v>20</v>
      </c>
      <c r="Z12" s="2"/>
      <c r="AA12" s="2"/>
      <c r="AC12" s="2" t="s">
        <v>20</v>
      </c>
      <c r="AD12" s="2" t="s">
        <v>20</v>
      </c>
      <c r="AG12" s="2"/>
      <c r="AH12" s="2"/>
      <c r="AI12" s="10">
        <f t="shared" si="0"/>
        <v>0</v>
      </c>
    </row>
    <row r="13" spans="1:37" x14ac:dyDescent="0.2">
      <c r="B13" s="6">
        <v>184</v>
      </c>
      <c r="C13" t="s">
        <v>11</v>
      </c>
      <c r="E13" s="2"/>
      <c r="F13" s="2"/>
      <c r="H13" s="2" t="s">
        <v>20</v>
      </c>
      <c r="I13" s="2" t="s">
        <v>20</v>
      </c>
      <c r="L13" s="2"/>
      <c r="M13" s="2"/>
      <c r="O13" s="2" t="s">
        <v>20</v>
      </c>
      <c r="P13" s="2" t="s">
        <v>20</v>
      </c>
      <c r="S13" s="2"/>
      <c r="T13" s="2"/>
      <c r="V13" s="2" t="s">
        <v>20</v>
      </c>
      <c r="W13" s="2" t="s">
        <v>20</v>
      </c>
      <c r="Z13" s="2"/>
      <c r="AA13" s="2"/>
      <c r="AC13" s="2" t="s">
        <v>20</v>
      </c>
      <c r="AD13" s="2" t="s">
        <v>20</v>
      </c>
      <c r="AG13" s="2"/>
      <c r="AH13" s="2"/>
      <c r="AI13" s="10">
        <f t="shared" si="0"/>
        <v>0</v>
      </c>
    </row>
    <row r="14" spans="1:37" x14ac:dyDescent="0.2">
      <c r="C14" t="s">
        <v>7</v>
      </c>
      <c r="D14">
        <v>8</v>
      </c>
      <c r="E14" s="2">
        <v>8</v>
      </c>
      <c r="F14" s="2" t="s">
        <v>50</v>
      </c>
      <c r="G14">
        <v>8</v>
      </c>
      <c r="H14" s="2" t="s">
        <v>20</v>
      </c>
      <c r="I14" s="2" t="s">
        <v>20</v>
      </c>
      <c r="J14" s="2" t="s">
        <v>33</v>
      </c>
      <c r="K14" s="2" t="s">
        <v>33</v>
      </c>
      <c r="L14" s="2" t="s">
        <v>33</v>
      </c>
      <c r="M14" s="2" t="s">
        <v>33</v>
      </c>
      <c r="N14" s="2" t="s">
        <v>50</v>
      </c>
      <c r="O14" s="2" t="s">
        <v>20</v>
      </c>
      <c r="P14" s="2" t="s">
        <v>20</v>
      </c>
      <c r="Q14" s="2" t="s">
        <v>33</v>
      </c>
      <c r="R14" s="2" t="s">
        <v>33</v>
      </c>
      <c r="S14" s="2" t="s">
        <v>33</v>
      </c>
      <c r="T14" s="2" t="s">
        <v>33</v>
      </c>
      <c r="U14" s="2" t="s">
        <v>50</v>
      </c>
      <c r="V14" s="2" t="s">
        <v>20</v>
      </c>
      <c r="W14" s="2" t="s">
        <v>20</v>
      </c>
      <c r="X14">
        <v>8</v>
      </c>
      <c r="Y14">
        <v>8</v>
      </c>
      <c r="Z14" s="2">
        <v>8</v>
      </c>
      <c r="AA14" s="2">
        <v>8</v>
      </c>
      <c r="AB14" t="s">
        <v>52</v>
      </c>
      <c r="AC14" s="2" t="s">
        <v>20</v>
      </c>
      <c r="AD14" s="2" t="s">
        <v>20</v>
      </c>
      <c r="AE14">
        <v>8</v>
      </c>
      <c r="AF14">
        <v>8</v>
      </c>
      <c r="AG14" s="2">
        <v>8</v>
      </c>
      <c r="AH14" s="2">
        <v>8</v>
      </c>
      <c r="AI14" s="10">
        <f t="shared" si="0"/>
        <v>88</v>
      </c>
    </row>
    <row r="15" spans="1:37" x14ac:dyDescent="0.2">
      <c r="C15" t="s">
        <v>12</v>
      </c>
      <c r="E15" s="2"/>
      <c r="F15" s="2"/>
      <c r="H15" s="2" t="s">
        <v>20</v>
      </c>
      <c r="I15" s="2" t="s">
        <v>20</v>
      </c>
      <c r="L15" s="2"/>
      <c r="M15" s="2"/>
      <c r="O15" s="2" t="s">
        <v>20</v>
      </c>
      <c r="P15" s="2" t="s">
        <v>20</v>
      </c>
      <c r="S15" s="2"/>
      <c r="T15" s="2"/>
      <c r="V15" s="2" t="s">
        <v>20</v>
      </c>
      <c r="W15" s="2" t="s">
        <v>20</v>
      </c>
      <c r="Z15" s="2"/>
      <c r="AA15" s="2"/>
      <c r="AC15" s="2" t="s">
        <v>20</v>
      </c>
      <c r="AD15" s="2" t="s">
        <v>20</v>
      </c>
      <c r="AG15" s="2"/>
      <c r="AH15" s="2"/>
      <c r="AI15" s="10">
        <f t="shared" si="0"/>
        <v>0</v>
      </c>
    </row>
    <row r="16" spans="1:37" x14ac:dyDescent="0.2">
      <c r="C16" t="s">
        <v>9</v>
      </c>
      <c r="E16" s="2"/>
      <c r="F16" s="2"/>
      <c r="H16" s="2" t="s">
        <v>20</v>
      </c>
      <c r="I16" s="2" t="s">
        <v>20</v>
      </c>
      <c r="L16" s="2"/>
      <c r="M16" s="2"/>
      <c r="O16" s="2" t="s">
        <v>20</v>
      </c>
      <c r="P16" s="2" t="s">
        <v>20</v>
      </c>
      <c r="S16" s="2"/>
      <c r="T16" s="2"/>
      <c r="V16" s="2" t="s">
        <v>20</v>
      </c>
      <c r="W16" s="2" t="s">
        <v>20</v>
      </c>
      <c r="Z16" s="2"/>
      <c r="AA16" s="2"/>
      <c r="AC16" s="2" t="s">
        <v>20</v>
      </c>
      <c r="AD16" s="2" t="s">
        <v>20</v>
      </c>
      <c r="AG16" s="2"/>
      <c r="AH16" s="2"/>
      <c r="AI16" s="10">
        <f t="shared" si="0"/>
        <v>0</v>
      </c>
    </row>
    <row r="17" spans="2:37" s="3" customFormat="1" x14ac:dyDescent="0.2">
      <c r="AI17" s="11">
        <f>SUM(AI9:AI16)</f>
        <v>88</v>
      </c>
      <c r="AK17" s="3">
        <f>SUM(AI17,AJ9:AK9)</f>
        <v>152</v>
      </c>
    </row>
    <row r="18" spans="2:37" x14ac:dyDescent="0.2">
      <c r="B18" t="s">
        <v>5</v>
      </c>
      <c r="C18" t="s">
        <v>6</v>
      </c>
      <c r="E18" s="2" t="s">
        <v>20</v>
      </c>
      <c r="F18" s="2" t="s">
        <v>20</v>
      </c>
      <c r="L18" s="2" t="s">
        <v>20</v>
      </c>
      <c r="M18" s="2" t="s">
        <v>20</v>
      </c>
      <c r="S18" s="2" t="s">
        <v>20</v>
      </c>
      <c r="T18" s="2" t="s">
        <v>20</v>
      </c>
      <c r="Z18" s="2" t="s">
        <v>20</v>
      </c>
      <c r="AA18" s="2" t="s">
        <v>20</v>
      </c>
      <c r="AG18" s="2" t="s">
        <v>20</v>
      </c>
      <c r="AH18" s="2" t="s">
        <v>20</v>
      </c>
      <c r="AI18" s="10">
        <f>SUM(D18,G18:K18,N18:R18,U18:Y18,AB18:AF18)</f>
        <v>0</v>
      </c>
      <c r="AJ18">
        <v>0</v>
      </c>
      <c r="AK18">
        <v>0</v>
      </c>
    </row>
    <row r="19" spans="2:37" x14ac:dyDescent="0.2">
      <c r="C19" t="s">
        <v>10</v>
      </c>
      <c r="E19" s="2" t="s">
        <v>20</v>
      </c>
      <c r="F19" s="2" t="s">
        <v>20</v>
      </c>
      <c r="G19">
        <v>8</v>
      </c>
      <c r="H19">
        <v>8</v>
      </c>
      <c r="I19">
        <v>8</v>
      </c>
      <c r="J19">
        <v>8</v>
      </c>
      <c r="L19" s="2" t="s">
        <v>20</v>
      </c>
      <c r="M19" s="2" t="s">
        <v>20</v>
      </c>
      <c r="N19">
        <v>8</v>
      </c>
      <c r="O19">
        <v>8</v>
      </c>
      <c r="S19" s="2" t="s">
        <v>20</v>
      </c>
      <c r="T19" s="2" t="s">
        <v>20</v>
      </c>
      <c r="Z19" s="2" t="s">
        <v>20</v>
      </c>
      <c r="AA19" s="2" t="s">
        <v>20</v>
      </c>
      <c r="AG19" s="2" t="s">
        <v>20</v>
      </c>
      <c r="AH19" s="2" t="s">
        <v>20</v>
      </c>
      <c r="AI19" s="10">
        <f t="shared" ref="AI19:AI25" si="1">SUM(D19,G19:K19,N19:R19,U19:Y19,AB19:AF19)</f>
        <v>48</v>
      </c>
    </row>
    <row r="20" spans="2:37" x14ac:dyDescent="0.2">
      <c r="B20" t="s">
        <v>28</v>
      </c>
      <c r="C20" t="s">
        <v>8</v>
      </c>
      <c r="E20" s="2" t="s">
        <v>20</v>
      </c>
      <c r="F20" s="2" t="s">
        <v>20</v>
      </c>
      <c r="L20" s="2" t="s">
        <v>20</v>
      </c>
      <c r="M20" s="2" t="s">
        <v>20</v>
      </c>
      <c r="S20" s="2" t="s">
        <v>20</v>
      </c>
      <c r="T20" s="2" t="s">
        <v>20</v>
      </c>
      <c r="U20">
        <v>8</v>
      </c>
      <c r="V20">
        <v>8</v>
      </c>
      <c r="W20">
        <v>8</v>
      </c>
      <c r="X20">
        <v>8</v>
      </c>
      <c r="Z20" s="2" t="s">
        <v>20</v>
      </c>
      <c r="AA20" s="2" t="s">
        <v>20</v>
      </c>
      <c r="AB20">
        <v>8</v>
      </c>
      <c r="AC20">
        <v>8</v>
      </c>
      <c r="AD20">
        <v>8</v>
      </c>
      <c r="AE20">
        <v>8</v>
      </c>
      <c r="AG20" s="2" t="s">
        <v>20</v>
      </c>
      <c r="AH20" s="2" t="s">
        <v>20</v>
      </c>
      <c r="AI20" s="10">
        <f t="shared" si="1"/>
        <v>64</v>
      </c>
    </row>
    <row r="21" spans="2:37" x14ac:dyDescent="0.2">
      <c r="C21" t="s">
        <v>13</v>
      </c>
      <c r="E21" s="2" t="s">
        <v>20</v>
      </c>
      <c r="F21" s="2" t="s">
        <v>20</v>
      </c>
      <c r="L21" s="2" t="s">
        <v>20</v>
      </c>
      <c r="M21" s="2" t="s">
        <v>20</v>
      </c>
      <c r="S21" s="2" t="s">
        <v>20</v>
      </c>
      <c r="T21" s="2" t="s">
        <v>20</v>
      </c>
      <c r="Z21" s="2" t="s">
        <v>20</v>
      </c>
      <c r="AA21" s="2" t="s">
        <v>20</v>
      </c>
      <c r="AG21" s="2" t="s">
        <v>20</v>
      </c>
      <c r="AH21" s="2" t="s">
        <v>20</v>
      </c>
      <c r="AI21" s="10">
        <f t="shared" si="1"/>
        <v>0</v>
      </c>
    </row>
    <row r="22" spans="2:37" x14ac:dyDescent="0.2">
      <c r="B22" s="6">
        <v>168</v>
      </c>
      <c r="C22" t="s">
        <v>11</v>
      </c>
      <c r="E22" s="2" t="s">
        <v>20</v>
      </c>
      <c r="F22" s="2" t="s">
        <v>20</v>
      </c>
      <c r="L22" s="2" t="s">
        <v>20</v>
      </c>
      <c r="M22" s="2" t="s">
        <v>20</v>
      </c>
      <c r="S22" s="2" t="s">
        <v>20</v>
      </c>
      <c r="T22" s="2" t="s">
        <v>20</v>
      </c>
      <c r="Z22" s="2" t="s">
        <v>20</v>
      </c>
      <c r="AA22" s="2" t="s">
        <v>20</v>
      </c>
      <c r="AG22" s="2" t="s">
        <v>20</v>
      </c>
      <c r="AH22" s="2" t="s">
        <v>20</v>
      </c>
      <c r="AI22" s="10">
        <f t="shared" si="1"/>
        <v>0</v>
      </c>
    </row>
    <row r="23" spans="2:37" x14ac:dyDescent="0.2">
      <c r="C23" t="s">
        <v>7</v>
      </c>
      <c r="D23" t="s">
        <v>52</v>
      </c>
      <c r="E23" s="2" t="s">
        <v>20</v>
      </c>
      <c r="F23" s="2" t="s">
        <v>20</v>
      </c>
      <c r="K23" t="s">
        <v>52</v>
      </c>
      <c r="L23" s="2" t="s">
        <v>20</v>
      </c>
      <c r="M23" s="2" t="s">
        <v>20</v>
      </c>
      <c r="P23">
        <v>8</v>
      </c>
      <c r="Q23">
        <v>8</v>
      </c>
      <c r="R23" t="s">
        <v>52</v>
      </c>
      <c r="S23" s="2" t="s">
        <v>20</v>
      </c>
      <c r="T23" s="2" t="s">
        <v>20</v>
      </c>
      <c r="Y23" t="s">
        <v>50</v>
      </c>
      <c r="Z23" s="2" t="s">
        <v>20</v>
      </c>
      <c r="AA23" s="2" t="s">
        <v>20</v>
      </c>
      <c r="AF23" t="s">
        <v>50</v>
      </c>
      <c r="AG23" s="2" t="s">
        <v>20</v>
      </c>
      <c r="AH23" s="2" t="s">
        <v>20</v>
      </c>
      <c r="AI23" s="10">
        <f t="shared" si="1"/>
        <v>16</v>
      </c>
    </row>
    <row r="24" spans="2:37" x14ac:dyDescent="0.2">
      <c r="C24" t="s">
        <v>12</v>
      </c>
      <c r="E24" s="2" t="s">
        <v>20</v>
      </c>
      <c r="F24" s="2" t="s">
        <v>20</v>
      </c>
      <c r="L24" s="2" t="s">
        <v>20</v>
      </c>
      <c r="M24" s="2" t="s">
        <v>20</v>
      </c>
      <c r="S24" s="2" t="s">
        <v>20</v>
      </c>
      <c r="T24" s="2" t="s">
        <v>20</v>
      </c>
      <c r="Z24" s="2" t="s">
        <v>20</v>
      </c>
      <c r="AA24" s="2" t="s">
        <v>20</v>
      </c>
      <c r="AG24" s="2" t="s">
        <v>20</v>
      </c>
      <c r="AH24" s="2" t="s">
        <v>20</v>
      </c>
      <c r="AI24" s="10">
        <f t="shared" si="1"/>
        <v>0</v>
      </c>
    </row>
    <row r="25" spans="2:37" x14ac:dyDescent="0.2">
      <c r="C25" t="s">
        <v>9</v>
      </c>
      <c r="E25" s="2" t="s">
        <v>20</v>
      </c>
      <c r="F25" s="2" t="s">
        <v>20</v>
      </c>
      <c r="L25" s="2" t="s">
        <v>20</v>
      </c>
      <c r="M25" s="2" t="s">
        <v>20</v>
      </c>
      <c r="S25" s="2" t="s">
        <v>20</v>
      </c>
      <c r="T25" s="2" t="s">
        <v>20</v>
      </c>
      <c r="Z25" s="2" t="s">
        <v>20</v>
      </c>
      <c r="AA25" s="2" t="s">
        <v>20</v>
      </c>
      <c r="AG25" s="2" t="s">
        <v>20</v>
      </c>
      <c r="AH25" s="2" t="s">
        <v>20</v>
      </c>
      <c r="AI25" s="10">
        <f t="shared" si="1"/>
        <v>0</v>
      </c>
    </row>
    <row r="26" spans="2:37" s="1" customFormat="1" x14ac:dyDescent="0.2">
      <c r="AI26" s="11">
        <f>SUM(AI18:AI25)</f>
        <v>128</v>
      </c>
      <c r="AK26" s="1">
        <f>SUM(AI26,AJ18:AK18)</f>
        <v>128</v>
      </c>
    </row>
    <row r="27" spans="2:37" x14ac:dyDescent="0.2">
      <c r="B27" t="s">
        <v>14</v>
      </c>
      <c r="C27" t="s">
        <v>6</v>
      </c>
      <c r="H27" s="2" t="s">
        <v>52</v>
      </c>
      <c r="I27" s="2" t="s">
        <v>20</v>
      </c>
      <c r="J27" s="2" t="s">
        <v>20</v>
      </c>
      <c r="O27" s="2" t="s">
        <v>52</v>
      </c>
      <c r="P27" s="2" t="s">
        <v>20</v>
      </c>
      <c r="Q27" s="2" t="s">
        <v>20</v>
      </c>
      <c r="V27" s="2" t="s">
        <v>52</v>
      </c>
      <c r="W27" s="2" t="s">
        <v>20</v>
      </c>
      <c r="X27" s="2" t="s">
        <v>20</v>
      </c>
      <c r="AC27" s="2" t="s">
        <v>52</v>
      </c>
      <c r="AD27" s="2" t="s">
        <v>20</v>
      </c>
      <c r="AE27" s="2" t="s">
        <v>20</v>
      </c>
      <c r="AG27" s="2"/>
      <c r="AH27" s="9"/>
      <c r="AI27" s="10">
        <f>SUM(D27:H27,K27:O27,R27:V27,Y27:AC27,AF27:AG27)</f>
        <v>0</v>
      </c>
      <c r="AJ27">
        <v>0</v>
      </c>
      <c r="AK27">
        <v>0</v>
      </c>
    </row>
    <row r="28" spans="2:37" x14ac:dyDescent="0.2">
      <c r="C28" t="s">
        <v>10</v>
      </c>
      <c r="H28" s="2" t="s">
        <v>52</v>
      </c>
      <c r="I28" s="2" t="s">
        <v>20</v>
      </c>
      <c r="J28" s="2" t="s">
        <v>20</v>
      </c>
      <c r="O28" s="2" t="s">
        <v>52</v>
      </c>
      <c r="P28" s="2" t="s">
        <v>20</v>
      </c>
      <c r="Q28" s="2" t="s">
        <v>20</v>
      </c>
      <c r="V28" s="2" t="s">
        <v>52</v>
      </c>
      <c r="W28" s="2" t="s">
        <v>20</v>
      </c>
      <c r="X28" s="2" t="s">
        <v>20</v>
      </c>
      <c r="AC28" s="2" t="s">
        <v>52</v>
      </c>
      <c r="AD28" s="2" t="s">
        <v>20</v>
      </c>
      <c r="AE28" s="2" t="s">
        <v>20</v>
      </c>
      <c r="AF28">
        <v>8</v>
      </c>
      <c r="AG28">
        <v>8</v>
      </c>
      <c r="AH28" s="9"/>
      <c r="AI28" s="10">
        <f>SUM(D28:H28,K28:O28,R28:V28,Y28:AC28,AF28:AG28)</f>
        <v>16</v>
      </c>
    </row>
    <row r="29" spans="2:37" x14ac:dyDescent="0.2">
      <c r="B29" t="s">
        <v>29</v>
      </c>
      <c r="C29" t="s">
        <v>8</v>
      </c>
      <c r="H29" s="2" t="s">
        <v>52</v>
      </c>
      <c r="I29" s="2" t="s">
        <v>20</v>
      </c>
      <c r="J29" s="2" t="s">
        <v>20</v>
      </c>
      <c r="O29" s="2" t="s">
        <v>52</v>
      </c>
      <c r="P29" s="2" t="s">
        <v>20</v>
      </c>
      <c r="Q29" s="2" t="s">
        <v>20</v>
      </c>
      <c r="V29" s="2" t="s">
        <v>52</v>
      </c>
      <c r="W29" s="2" t="s">
        <v>20</v>
      </c>
      <c r="X29" s="2" t="s">
        <v>20</v>
      </c>
      <c r="Y29">
        <v>8</v>
      </c>
      <c r="Z29">
        <v>8</v>
      </c>
      <c r="AA29">
        <v>8</v>
      </c>
      <c r="AB29">
        <v>8</v>
      </c>
      <c r="AC29" s="2" t="s">
        <v>52</v>
      </c>
      <c r="AD29" s="2" t="s">
        <v>20</v>
      </c>
      <c r="AE29" s="2" t="s">
        <v>20</v>
      </c>
      <c r="AH29" s="9"/>
      <c r="AI29" s="10">
        <f t="shared" ref="AI29:AI34" si="2">SUM(D29:H29,K29:O29,R29:V29,Y29:AC29,AF29:AG29)</f>
        <v>32</v>
      </c>
    </row>
    <row r="30" spans="2:37" x14ac:dyDescent="0.2">
      <c r="C30" t="s">
        <v>13</v>
      </c>
      <c r="H30" s="2" t="s">
        <v>52</v>
      </c>
      <c r="I30" s="2" t="s">
        <v>20</v>
      </c>
      <c r="J30" s="2" t="s">
        <v>20</v>
      </c>
      <c r="O30" s="2" t="s">
        <v>52</v>
      </c>
      <c r="P30" s="2" t="s">
        <v>20</v>
      </c>
      <c r="Q30" s="2" t="s">
        <v>20</v>
      </c>
      <c r="V30" s="2" t="s">
        <v>52</v>
      </c>
      <c r="W30" s="2" t="s">
        <v>20</v>
      </c>
      <c r="X30" s="2" t="s">
        <v>20</v>
      </c>
      <c r="AC30" s="2" t="s">
        <v>52</v>
      </c>
      <c r="AD30" s="2" t="s">
        <v>20</v>
      </c>
      <c r="AE30" s="2" t="s">
        <v>20</v>
      </c>
      <c r="AH30" s="9"/>
      <c r="AI30" s="10">
        <f t="shared" si="2"/>
        <v>0</v>
      </c>
    </row>
    <row r="31" spans="2:37" x14ac:dyDescent="0.2">
      <c r="B31" s="6">
        <v>176</v>
      </c>
      <c r="C31" t="s">
        <v>11</v>
      </c>
      <c r="H31" s="2" t="s">
        <v>52</v>
      </c>
      <c r="I31" s="2" t="s">
        <v>20</v>
      </c>
      <c r="J31" s="2" t="s">
        <v>20</v>
      </c>
      <c r="O31" s="2" t="s">
        <v>52</v>
      </c>
      <c r="P31" s="2" t="s">
        <v>20</v>
      </c>
      <c r="Q31" s="2" t="s">
        <v>20</v>
      </c>
      <c r="V31" s="2" t="s">
        <v>52</v>
      </c>
      <c r="W31" s="2" t="s">
        <v>20</v>
      </c>
      <c r="X31" s="2" t="s">
        <v>20</v>
      </c>
      <c r="AC31" s="2" t="s">
        <v>52</v>
      </c>
      <c r="AD31" s="2" t="s">
        <v>20</v>
      </c>
      <c r="AE31" s="2" t="s">
        <v>20</v>
      </c>
      <c r="AH31" s="9"/>
      <c r="AI31" s="10">
        <f t="shared" si="2"/>
        <v>0</v>
      </c>
    </row>
    <row r="32" spans="2:37" x14ac:dyDescent="0.2">
      <c r="C32" t="s">
        <v>7</v>
      </c>
      <c r="H32" s="2" t="s">
        <v>52</v>
      </c>
      <c r="I32" s="2" t="s">
        <v>20</v>
      </c>
      <c r="J32" s="2" t="s">
        <v>20</v>
      </c>
      <c r="O32" s="2" t="s">
        <v>52</v>
      </c>
      <c r="P32" s="2" t="s">
        <v>20</v>
      </c>
      <c r="Q32" s="2" t="s">
        <v>20</v>
      </c>
      <c r="V32" s="2" t="s">
        <v>52</v>
      </c>
      <c r="W32" s="2" t="s">
        <v>20</v>
      </c>
      <c r="X32" s="2" t="s">
        <v>20</v>
      </c>
      <c r="AC32" s="2" t="s">
        <v>52</v>
      </c>
      <c r="AD32" s="2" t="s">
        <v>20</v>
      </c>
      <c r="AE32" s="2" t="s">
        <v>20</v>
      </c>
      <c r="AH32" s="9"/>
      <c r="AI32" s="10">
        <f t="shared" si="2"/>
        <v>0</v>
      </c>
    </row>
    <row r="33" spans="2:37" x14ac:dyDescent="0.2">
      <c r="C33" t="s">
        <v>12</v>
      </c>
      <c r="D33">
        <v>8</v>
      </c>
      <c r="E33">
        <v>8</v>
      </c>
      <c r="F33">
        <v>8</v>
      </c>
      <c r="G33">
        <v>8</v>
      </c>
      <c r="H33" s="2" t="s">
        <v>52</v>
      </c>
      <c r="I33" s="2" t="s">
        <v>20</v>
      </c>
      <c r="J33" s="2" t="s">
        <v>20</v>
      </c>
      <c r="K33">
        <v>8</v>
      </c>
      <c r="L33">
        <v>8</v>
      </c>
      <c r="M33">
        <v>8</v>
      </c>
      <c r="N33">
        <v>8</v>
      </c>
      <c r="O33" s="2" t="s">
        <v>52</v>
      </c>
      <c r="P33" s="2" t="s">
        <v>20</v>
      </c>
      <c r="Q33" s="2" t="s">
        <v>20</v>
      </c>
      <c r="R33">
        <v>8</v>
      </c>
      <c r="S33">
        <v>8</v>
      </c>
      <c r="T33">
        <v>8</v>
      </c>
      <c r="U33">
        <v>8</v>
      </c>
      <c r="V33" s="2" t="s">
        <v>52</v>
      </c>
      <c r="W33" s="2" t="s">
        <v>20</v>
      </c>
      <c r="X33" s="2" t="s">
        <v>20</v>
      </c>
      <c r="AC33" s="2" t="s">
        <v>52</v>
      </c>
      <c r="AD33" s="2" t="s">
        <v>20</v>
      </c>
      <c r="AE33" s="2" t="s">
        <v>20</v>
      </c>
      <c r="AH33" s="9"/>
      <c r="AI33" s="10">
        <f t="shared" si="2"/>
        <v>96</v>
      </c>
    </row>
    <row r="34" spans="2:37" x14ac:dyDescent="0.2">
      <c r="C34" t="s">
        <v>9</v>
      </c>
      <c r="H34" s="2" t="s">
        <v>52</v>
      </c>
      <c r="I34" s="2" t="s">
        <v>20</v>
      </c>
      <c r="J34" s="2" t="s">
        <v>20</v>
      </c>
      <c r="O34" s="2" t="s">
        <v>52</v>
      </c>
      <c r="P34" s="2" t="s">
        <v>20</v>
      </c>
      <c r="Q34" s="2" t="s">
        <v>20</v>
      </c>
      <c r="V34" s="2" t="s">
        <v>52</v>
      </c>
      <c r="W34" s="2" t="s">
        <v>20</v>
      </c>
      <c r="X34" s="2" t="s">
        <v>20</v>
      </c>
      <c r="AC34" s="2" t="s">
        <v>52</v>
      </c>
      <c r="AD34" s="2" t="s">
        <v>20</v>
      </c>
      <c r="AE34" s="2" t="s">
        <v>20</v>
      </c>
      <c r="AH34" s="9"/>
      <c r="AI34" s="10">
        <f t="shared" si="2"/>
        <v>0</v>
      </c>
    </row>
    <row r="35" spans="2:37" s="1" customFormat="1" x14ac:dyDescent="0.2">
      <c r="AI35" s="11">
        <f>SUM(AI27:AI34)</f>
        <v>144</v>
      </c>
      <c r="AK35" s="1">
        <f>SUM(AI35,AJ27:AK27)</f>
        <v>144</v>
      </c>
    </row>
    <row r="36" spans="2:37" x14ac:dyDescent="0.2">
      <c r="B36" t="s">
        <v>15</v>
      </c>
      <c r="C36" t="s">
        <v>16</v>
      </c>
      <c r="F36" s="4" t="s">
        <v>25</v>
      </c>
      <c r="G36" s="2" t="s">
        <v>20</v>
      </c>
      <c r="H36" s="2" t="s">
        <v>20</v>
      </c>
      <c r="I36" s="2" t="s">
        <v>33</v>
      </c>
      <c r="J36" s="2" t="s">
        <v>33</v>
      </c>
      <c r="K36" s="2" t="s">
        <v>33</v>
      </c>
      <c r="L36" s="2" t="s">
        <v>33</v>
      </c>
      <c r="M36" s="2" t="s">
        <v>52</v>
      </c>
      <c r="N36" s="2" t="s">
        <v>20</v>
      </c>
      <c r="O36" s="2" t="s">
        <v>20</v>
      </c>
      <c r="T36" s="2" t="s">
        <v>52</v>
      </c>
      <c r="U36" s="2" t="s">
        <v>20</v>
      </c>
      <c r="V36" s="2" t="s">
        <v>20</v>
      </c>
      <c r="AA36" s="2" t="s">
        <v>52</v>
      </c>
      <c r="AB36" s="2" t="s">
        <v>20</v>
      </c>
      <c r="AC36" s="2" t="s">
        <v>20</v>
      </c>
      <c r="AH36" s="4" t="s">
        <v>25</v>
      </c>
      <c r="AI36" s="10">
        <f>SUM(D36:E36,I36:M36,P36:T36,W36:AA36,AD36:AG36)</f>
        <v>0</v>
      </c>
      <c r="AJ36">
        <v>32</v>
      </c>
      <c r="AK36">
        <v>16</v>
      </c>
    </row>
    <row r="37" spans="2:37" x14ac:dyDescent="0.2">
      <c r="C37" t="s">
        <v>10</v>
      </c>
      <c r="F37" s="4" t="s">
        <v>25</v>
      </c>
      <c r="G37" s="2" t="s">
        <v>20</v>
      </c>
      <c r="H37" s="2" t="s">
        <v>20</v>
      </c>
      <c r="I37" s="2" t="s">
        <v>33</v>
      </c>
      <c r="J37" s="2" t="s">
        <v>33</v>
      </c>
      <c r="K37" s="2" t="s">
        <v>33</v>
      </c>
      <c r="L37" s="2" t="s">
        <v>33</v>
      </c>
      <c r="M37" s="2" t="s">
        <v>52</v>
      </c>
      <c r="N37" s="2" t="s">
        <v>20</v>
      </c>
      <c r="O37" s="2" t="s">
        <v>20</v>
      </c>
      <c r="T37" s="2" t="s">
        <v>52</v>
      </c>
      <c r="U37" s="2" t="s">
        <v>20</v>
      </c>
      <c r="V37" s="2" t="s">
        <v>20</v>
      </c>
      <c r="AA37" s="2" t="s">
        <v>52</v>
      </c>
      <c r="AB37" s="2" t="s">
        <v>20</v>
      </c>
      <c r="AC37" s="2" t="s">
        <v>20</v>
      </c>
      <c r="AH37" s="4" t="s">
        <v>25</v>
      </c>
      <c r="AI37" s="10">
        <f t="shared" ref="AI37:AI44" si="3">SUM(D37:E37,I37:M37,P37:T37,W37:AA37,AD37:AG37)</f>
        <v>0</v>
      </c>
    </row>
    <row r="38" spans="2:37" x14ac:dyDescent="0.2">
      <c r="B38" t="s">
        <v>29</v>
      </c>
      <c r="C38" t="s">
        <v>8</v>
      </c>
      <c r="F38" s="4" t="s">
        <v>25</v>
      </c>
      <c r="G38" s="2" t="s">
        <v>20</v>
      </c>
      <c r="H38" s="2" t="s">
        <v>20</v>
      </c>
      <c r="I38" s="2" t="s">
        <v>33</v>
      </c>
      <c r="J38" s="2" t="s">
        <v>33</v>
      </c>
      <c r="K38" s="2" t="s">
        <v>33</v>
      </c>
      <c r="L38" s="2" t="s">
        <v>33</v>
      </c>
      <c r="M38" s="2" t="s">
        <v>52</v>
      </c>
      <c r="N38" s="2" t="s">
        <v>20</v>
      </c>
      <c r="O38" s="2" t="s">
        <v>20</v>
      </c>
      <c r="T38" s="2" t="s">
        <v>52</v>
      </c>
      <c r="U38" s="2" t="s">
        <v>20</v>
      </c>
      <c r="V38" s="2" t="s">
        <v>20</v>
      </c>
      <c r="AA38" s="2" t="s">
        <v>52</v>
      </c>
      <c r="AB38" s="2" t="s">
        <v>20</v>
      </c>
      <c r="AC38" s="2" t="s">
        <v>20</v>
      </c>
      <c r="AH38" s="4" t="s">
        <v>25</v>
      </c>
      <c r="AI38" s="10">
        <f>SUM(D38:E38,I38:M38,P38:T38,W38:AA38,AD38:AG38)</f>
        <v>0</v>
      </c>
    </row>
    <row r="39" spans="2:37" x14ac:dyDescent="0.2">
      <c r="B39" t="s">
        <v>30</v>
      </c>
      <c r="C39" t="s">
        <v>13</v>
      </c>
      <c r="F39" s="4" t="s">
        <v>25</v>
      </c>
      <c r="G39" s="2" t="s">
        <v>20</v>
      </c>
      <c r="H39" s="2" t="s">
        <v>20</v>
      </c>
      <c r="I39" s="2" t="s">
        <v>33</v>
      </c>
      <c r="J39" s="2" t="s">
        <v>33</v>
      </c>
      <c r="K39" s="2" t="s">
        <v>33</v>
      </c>
      <c r="L39" s="2" t="s">
        <v>33</v>
      </c>
      <c r="M39" s="2" t="s">
        <v>52</v>
      </c>
      <c r="N39" s="2" t="s">
        <v>20</v>
      </c>
      <c r="O39" s="2" t="s">
        <v>20</v>
      </c>
      <c r="T39" s="2" t="s">
        <v>52</v>
      </c>
      <c r="U39" s="2" t="s">
        <v>20</v>
      </c>
      <c r="V39" s="2" t="s">
        <v>20</v>
      </c>
      <c r="AA39" s="2" t="s">
        <v>52</v>
      </c>
      <c r="AB39" s="2" t="s">
        <v>20</v>
      </c>
      <c r="AC39" s="2" t="s">
        <v>20</v>
      </c>
      <c r="AH39" s="4" t="s">
        <v>25</v>
      </c>
      <c r="AI39" s="10">
        <f>SUM(D39:E39,I39:M39,P39:T39,W39:AA39,AD39:AG39)</f>
        <v>0</v>
      </c>
    </row>
    <row r="40" spans="2:37" x14ac:dyDescent="0.2">
      <c r="B40" s="6">
        <v>184</v>
      </c>
      <c r="C40" t="s">
        <v>11</v>
      </c>
      <c r="F40" s="4" t="s">
        <v>25</v>
      </c>
      <c r="G40" s="2" t="s">
        <v>20</v>
      </c>
      <c r="H40" s="2" t="s">
        <v>20</v>
      </c>
      <c r="I40" s="2" t="s">
        <v>33</v>
      </c>
      <c r="J40" s="2" t="s">
        <v>33</v>
      </c>
      <c r="K40" s="2" t="s">
        <v>33</v>
      </c>
      <c r="L40" s="2" t="s">
        <v>33</v>
      </c>
      <c r="M40" s="2" t="s">
        <v>52</v>
      </c>
      <c r="N40" s="2" t="s">
        <v>20</v>
      </c>
      <c r="O40" s="2" t="s">
        <v>20</v>
      </c>
      <c r="T40" s="2" t="s">
        <v>52</v>
      </c>
      <c r="U40" s="2" t="s">
        <v>20</v>
      </c>
      <c r="V40" s="2" t="s">
        <v>20</v>
      </c>
      <c r="AA40" s="2" t="s">
        <v>52</v>
      </c>
      <c r="AB40" s="2" t="s">
        <v>20</v>
      </c>
      <c r="AC40" s="2" t="s">
        <v>20</v>
      </c>
      <c r="AH40" s="4" t="s">
        <v>25</v>
      </c>
      <c r="AI40" s="10">
        <f t="shared" si="3"/>
        <v>0</v>
      </c>
    </row>
    <row r="41" spans="2:37" x14ac:dyDescent="0.2">
      <c r="C41" t="s">
        <v>35</v>
      </c>
      <c r="F41" s="4" t="s">
        <v>25</v>
      </c>
      <c r="G41" s="2" t="s">
        <v>20</v>
      </c>
      <c r="H41" s="2" t="s">
        <v>20</v>
      </c>
      <c r="I41" s="2" t="s">
        <v>33</v>
      </c>
      <c r="J41" s="2" t="s">
        <v>33</v>
      </c>
      <c r="K41" s="2" t="s">
        <v>33</v>
      </c>
      <c r="L41" s="2" t="s">
        <v>33</v>
      </c>
      <c r="M41" s="2" t="s">
        <v>52</v>
      </c>
      <c r="N41" s="2" t="s">
        <v>20</v>
      </c>
      <c r="O41" s="2" t="s">
        <v>20</v>
      </c>
      <c r="T41" s="2" t="s">
        <v>52</v>
      </c>
      <c r="U41" s="2" t="s">
        <v>20</v>
      </c>
      <c r="V41" s="2" t="s">
        <v>20</v>
      </c>
      <c r="AA41" s="2" t="s">
        <v>52</v>
      </c>
      <c r="AB41" s="2" t="s">
        <v>20</v>
      </c>
      <c r="AC41" s="2" t="s">
        <v>20</v>
      </c>
      <c r="AH41" s="4" t="s">
        <v>25</v>
      </c>
      <c r="AI41" s="10">
        <v>0</v>
      </c>
    </row>
    <row r="42" spans="2:37" x14ac:dyDescent="0.2">
      <c r="C42" t="s">
        <v>7</v>
      </c>
      <c r="F42" s="4" t="s">
        <v>25</v>
      </c>
      <c r="G42" s="2" t="s">
        <v>20</v>
      </c>
      <c r="H42" s="2" t="s">
        <v>20</v>
      </c>
      <c r="I42" s="2" t="s">
        <v>33</v>
      </c>
      <c r="J42" s="2" t="s">
        <v>33</v>
      </c>
      <c r="K42" s="2" t="s">
        <v>33</v>
      </c>
      <c r="L42" s="2" t="s">
        <v>33</v>
      </c>
      <c r="M42" s="2" t="s">
        <v>52</v>
      </c>
      <c r="N42" s="2" t="s">
        <v>20</v>
      </c>
      <c r="O42" s="2" t="s">
        <v>20</v>
      </c>
      <c r="T42" s="2" t="s">
        <v>52</v>
      </c>
      <c r="U42" s="2" t="s">
        <v>20</v>
      </c>
      <c r="V42" s="2" t="s">
        <v>20</v>
      </c>
      <c r="AA42" s="2" t="s">
        <v>52</v>
      </c>
      <c r="AB42" s="2" t="s">
        <v>20</v>
      </c>
      <c r="AC42" s="2" t="s">
        <v>20</v>
      </c>
      <c r="AH42" s="4" t="s">
        <v>25</v>
      </c>
      <c r="AI42" s="10">
        <f t="shared" si="3"/>
        <v>0</v>
      </c>
    </row>
    <row r="43" spans="2:37" x14ac:dyDescent="0.2">
      <c r="C43" t="s">
        <v>12</v>
      </c>
      <c r="D43">
        <v>8</v>
      </c>
      <c r="E43">
        <v>8</v>
      </c>
      <c r="F43" s="4" t="s">
        <v>25</v>
      </c>
      <c r="G43" s="2" t="s">
        <v>20</v>
      </c>
      <c r="H43" s="2" t="s">
        <v>20</v>
      </c>
      <c r="I43" s="2" t="s">
        <v>33</v>
      </c>
      <c r="J43" s="2" t="s">
        <v>33</v>
      </c>
      <c r="K43" s="2" t="s">
        <v>33</v>
      </c>
      <c r="L43" s="2" t="s">
        <v>33</v>
      </c>
      <c r="M43" s="2" t="s">
        <v>52</v>
      </c>
      <c r="N43" s="2" t="s">
        <v>20</v>
      </c>
      <c r="O43" s="2" t="s">
        <v>20</v>
      </c>
      <c r="P43">
        <v>8</v>
      </c>
      <c r="Q43">
        <v>8</v>
      </c>
      <c r="R43">
        <v>8</v>
      </c>
      <c r="S43">
        <v>8</v>
      </c>
      <c r="T43" s="2" t="s">
        <v>52</v>
      </c>
      <c r="U43" s="2" t="s">
        <v>20</v>
      </c>
      <c r="V43" s="2" t="s">
        <v>20</v>
      </c>
      <c r="W43">
        <v>8</v>
      </c>
      <c r="X43">
        <v>8</v>
      </c>
      <c r="Y43">
        <v>8</v>
      </c>
      <c r="Z43">
        <v>8</v>
      </c>
      <c r="AA43" s="2" t="s">
        <v>52</v>
      </c>
      <c r="AB43" s="2" t="s">
        <v>20</v>
      </c>
      <c r="AC43" s="2" t="s">
        <v>20</v>
      </c>
      <c r="AD43">
        <v>8</v>
      </c>
      <c r="AE43">
        <v>8</v>
      </c>
      <c r="AF43">
        <v>8</v>
      </c>
      <c r="AG43">
        <v>8</v>
      </c>
      <c r="AH43" s="4" t="s">
        <v>25</v>
      </c>
      <c r="AI43" s="10">
        <f t="shared" si="3"/>
        <v>112</v>
      </c>
    </row>
    <row r="44" spans="2:37" x14ac:dyDescent="0.2">
      <c r="C44" t="s">
        <v>9</v>
      </c>
      <c r="F44" s="4" t="s">
        <v>25</v>
      </c>
      <c r="G44" s="2" t="s">
        <v>20</v>
      </c>
      <c r="H44" s="2" t="s">
        <v>20</v>
      </c>
      <c r="I44" s="2" t="s">
        <v>33</v>
      </c>
      <c r="J44" s="2" t="s">
        <v>33</v>
      </c>
      <c r="K44" s="2" t="s">
        <v>33</v>
      </c>
      <c r="L44" s="2" t="s">
        <v>33</v>
      </c>
      <c r="M44" s="2" t="s">
        <v>52</v>
      </c>
      <c r="N44" s="2" t="s">
        <v>20</v>
      </c>
      <c r="O44" s="2" t="s">
        <v>20</v>
      </c>
      <c r="T44" s="2" t="s">
        <v>52</v>
      </c>
      <c r="U44" s="2" t="s">
        <v>20</v>
      </c>
      <c r="V44" s="2" t="s">
        <v>20</v>
      </c>
      <c r="AA44" s="2" t="s">
        <v>52</v>
      </c>
      <c r="AB44" s="2" t="s">
        <v>20</v>
      </c>
      <c r="AC44" s="2" t="s">
        <v>20</v>
      </c>
      <c r="AH44" s="4" t="s">
        <v>25</v>
      </c>
      <c r="AI44" s="10">
        <f t="shared" si="3"/>
        <v>0</v>
      </c>
    </row>
    <row r="45" spans="2:37" s="1" customFormat="1" x14ac:dyDescent="0.2">
      <c r="AI45" s="11">
        <f>SUM(AI36:AI44)</f>
        <v>112</v>
      </c>
      <c r="AK45" s="1">
        <f>SUM(AI45,AJ36:AK36)</f>
        <v>160</v>
      </c>
    </row>
    <row r="46" spans="2:37" x14ac:dyDescent="0.2">
      <c r="B46" t="s">
        <v>18</v>
      </c>
      <c r="C46" t="s">
        <v>16</v>
      </c>
      <c r="D46" s="2" t="s">
        <v>20</v>
      </c>
      <c r="E46" s="2" t="s">
        <v>20</v>
      </c>
      <c r="J46" s="2" t="s">
        <v>52</v>
      </c>
      <c r="K46" s="2" t="s">
        <v>20</v>
      </c>
      <c r="L46" s="2" t="s">
        <v>20</v>
      </c>
      <c r="Q46" s="2" t="s">
        <v>52</v>
      </c>
      <c r="R46" s="2" t="s">
        <v>20</v>
      </c>
      <c r="S46" s="2" t="s">
        <v>20</v>
      </c>
      <c r="X46" s="2" t="s">
        <v>52</v>
      </c>
      <c r="Y46" s="2" t="s">
        <v>20</v>
      </c>
      <c r="Z46" s="2" t="s">
        <v>20</v>
      </c>
      <c r="AE46" s="2" t="s">
        <v>52</v>
      </c>
      <c r="AF46" s="2" t="s">
        <v>20</v>
      </c>
      <c r="AG46" s="2" t="s">
        <v>20</v>
      </c>
      <c r="AH46" s="9"/>
      <c r="AI46" s="10">
        <f>SUM(F46:J46,M46:Q46,T46:X46,AA46:AE46)</f>
        <v>0</v>
      </c>
    </row>
    <row r="47" spans="2:37" x14ac:dyDescent="0.2">
      <c r="C47" t="s">
        <v>10</v>
      </c>
      <c r="D47" s="2" t="s">
        <v>20</v>
      </c>
      <c r="E47" s="2" t="s">
        <v>20</v>
      </c>
      <c r="J47" s="2" t="s">
        <v>52</v>
      </c>
      <c r="K47" s="2" t="s">
        <v>20</v>
      </c>
      <c r="L47" s="2" t="s">
        <v>20</v>
      </c>
      <c r="Q47" s="2" t="s">
        <v>52</v>
      </c>
      <c r="R47" s="2" t="s">
        <v>20</v>
      </c>
      <c r="S47" s="2" t="s">
        <v>20</v>
      </c>
      <c r="X47" s="2" t="s">
        <v>52</v>
      </c>
      <c r="Y47" s="2" t="s">
        <v>20</v>
      </c>
      <c r="Z47" s="2" t="s">
        <v>20</v>
      </c>
      <c r="AE47" s="2" t="s">
        <v>52</v>
      </c>
      <c r="AF47" s="2" t="s">
        <v>20</v>
      </c>
      <c r="AG47" s="2" t="s">
        <v>20</v>
      </c>
      <c r="AH47" s="9"/>
      <c r="AI47" s="10">
        <f t="shared" ref="AI47:AI54" si="4">SUM(F47:J47,M47:Q47,T47:X47,AA47:AE47)</f>
        <v>0</v>
      </c>
    </row>
    <row r="48" spans="2:37" x14ac:dyDescent="0.2">
      <c r="B48" t="s">
        <v>31</v>
      </c>
      <c r="C48" t="s">
        <v>8</v>
      </c>
      <c r="D48" s="2" t="s">
        <v>20</v>
      </c>
      <c r="E48" s="2" t="s">
        <v>20</v>
      </c>
      <c r="J48" s="2" t="s">
        <v>52</v>
      </c>
      <c r="K48" s="2" t="s">
        <v>20</v>
      </c>
      <c r="L48" s="2" t="s">
        <v>20</v>
      </c>
      <c r="M48">
        <v>8</v>
      </c>
      <c r="N48">
        <v>8</v>
      </c>
      <c r="Q48" s="2" t="s">
        <v>52</v>
      </c>
      <c r="R48" s="2" t="s">
        <v>20</v>
      </c>
      <c r="S48" s="2" t="s">
        <v>20</v>
      </c>
      <c r="T48">
        <v>8</v>
      </c>
      <c r="U48">
        <v>8</v>
      </c>
      <c r="X48" s="2" t="s">
        <v>52</v>
      </c>
      <c r="Y48" s="2" t="s">
        <v>20</v>
      </c>
      <c r="Z48" s="2" t="s">
        <v>20</v>
      </c>
      <c r="AE48" s="2" t="s">
        <v>52</v>
      </c>
      <c r="AF48" s="2" t="s">
        <v>20</v>
      </c>
      <c r="AG48" s="2" t="s">
        <v>20</v>
      </c>
      <c r="AH48" s="9"/>
      <c r="AI48" s="10">
        <f t="shared" si="4"/>
        <v>32</v>
      </c>
    </row>
    <row r="49" spans="2:37" x14ac:dyDescent="0.2">
      <c r="C49" t="s">
        <v>13</v>
      </c>
      <c r="D49" s="2" t="s">
        <v>20</v>
      </c>
      <c r="E49" s="2" t="s">
        <v>20</v>
      </c>
      <c r="J49" s="2" t="s">
        <v>52</v>
      </c>
      <c r="K49" s="2" t="s">
        <v>20</v>
      </c>
      <c r="L49" s="2" t="s">
        <v>20</v>
      </c>
      <c r="Q49" s="2" t="s">
        <v>52</v>
      </c>
      <c r="R49" s="2" t="s">
        <v>20</v>
      </c>
      <c r="S49" s="2" t="s">
        <v>20</v>
      </c>
      <c r="X49" s="2" t="s">
        <v>52</v>
      </c>
      <c r="Y49" s="2" t="s">
        <v>20</v>
      </c>
      <c r="Z49" s="2" t="s">
        <v>20</v>
      </c>
      <c r="AE49" s="2" t="s">
        <v>52</v>
      </c>
      <c r="AF49" s="2" t="s">
        <v>20</v>
      </c>
      <c r="AG49" s="2" t="s">
        <v>20</v>
      </c>
      <c r="AH49" s="9"/>
      <c r="AI49" s="10">
        <f t="shared" si="4"/>
        <v>0</v>
      </c>
    </row>
    <row r="50" spans="2:37" x14ac:dyDescent="0.2">
      <c r="B50" s="6">
        <v>160</v>
      </c>
      <c r="C50" t="s">
        <v>11</v>
      </c>
      <c r="D50" s="2" t="s">
        <v>20</v>
      </c>
      <c r="E50" s="2" t="s">
        <v>20</v>
      </c>
      <c r="J50" s="2" t="s">
        <v>52</v>
      </c>
      <c r="K50" s="2" t="s">
        <v>20</v>
      </c>
      <c r="L50" s="2" t="s">
        <v>20</v>
      </c>
      <c r="Q50" s="2" t="s">
        <v>52</v>
      </c>
      <c r="R50" s="2" t="s">
        <v>20</v>
      </c>
      <c r="S50" s="2" t="s">
        <v>20</v>
      </c>
      <c r="X50" s="2" t="s">
        <v>52</v>
      </c>
      <c r="Y50" s="2" t="s">
        <v>20</v>
      </c>
      <c r="Z50" s="2" t="s">
        <v>20</v>
      </c>
      <c r="AE50" s="2" t="s">
        <v>52</v>
      </c>
      <c r="AF50" s="2" t="s">
        <v>20</v>
      </c>
      <c r="AG50" s="2" t="s">
        <v>20</v>
      </c>
      <c r="AH50" s="9"/>
      <c r="AI50" s="10">
        <f t="shared" si="4"/>
        <v>0</v>
      </c>
    </row>
    <row r="51" spans="2:37" x14ac:dyDescent="0.2">
      <c r="C51" t="s">
        <v>35</v>
      </c>
      <c r="D51" s="2" t="s">
        <v>20</v>
      </c>
      <c r="E51" s="2" t="s">
        <v>20</v>
      </c>
      <c r="J51" s="2" t="s">
        <v>52</v>
      </c>
      <c r="K51" s="2" t="s">
        <v>20</v>
      </c>
      <c r="L51" s="2" t="s">
        <v>20</v>
      </c>
      <c r="Q51" s="2" t="s">
        <v>52</v>
      </c>
      <c r="R51" s="2" t="s">
        <v>20</v>
      </c>
      <c r="S51" s="2" t="s">
        <v>20</v>
      </c>
      <c r="X51" s="2" t="s">
        <v>52</v>
      </c>
      <c r="Y51" s="2" t="s">
        <v>20</v>
      </c>
      <c r="Z51" s="2" t="s">
        <v>20</v>
      </c>
      <c r="AE51" s="2" t="s">
        <v>52</v>
      </c>
      <c r="AF51" s="2" t="s">
        <v>20</v>
      </c>
      <c r="AG51" s="2" t="s">
        <v>20</v>
      </c>
      <c r="AH51" s="9"/>
      <c r="AI51" s="10">
        <f t="shared" si="4"/>
        <v>0</v>
      </c>
    </row>
    <row r="52" spans="2:37" x14ac:dyDescent="0.2">
      <c r="C52" t="s">
        <v>7</v>
      </c>
      <c r="D52" s="2" t="s">
        <v>20</v>
      </c>
      <c r="E52" s="2" t="s">
        <v>20</v>
      </c>
      <c r="J52" s="2" t="s">
        <v>52</v>
      </c>
      <c r="K52" s="2" t="s">
        <v>20</v>
      </c>
      <c r="L52" s="2" t="s">
        <v>20</v>
      </c>
      <c r="Q52" s="2" t="s">
        <v>52</v>
      </c>
      <c r="R52" s="2" t="s">
        <v>20</v>
      </c>
      <c r="S52" s="2" t="s">
        <v>20</v>
      </c>
      <c r="X52" s="2" t="s">
        <v>52</v>
      </c>
      <c r="Y52" s="2" t="s">
        <v>20</v>
      </c>
      <c r="Z52" s="2" t="s">
        <v>20</v>
      </c>
      <c r="AE52" s="2" t="s">
        <v>52</v>
      </c>
      <c r="AF52" s="2" t="s">
        <v>20</v>
      </c>
      <c r="AG52" s="2" t="s">
        <v>20</v>
      </c>
      <c r="AH52" s="9"/>
      <c r="AI52" s="10">
        <f t="shared" si="4"/>
        <v>0</v>
      </c>
    </row>
    <row r="53" spans="2:37" x14ac:dyDescent="0.2">
      <c r="C53" t="s">
        <v>12</v>
      </c>
      <c r="D53" s="2" t="s">
        <v>20</v>
      </c>
      <c r="E53" s="2" t="s">
        <v>20</v>
      </c>
      <c r="F53">
        <v>8</v>
      </c>
      <c r="G53">
        <v>8</v>
      </c>
      <c r="H53">
        <v>8</v>
      </c>
      <c r="I53">
        <v>8</v>
      </c>
      <c r="J53" s="2" t="s">
        <v>52</v>
      </c>
      <c r="K53" s="2" t="s">
        <v>20</v>
      </c>
      <c r="L53" s="2" t="s">
        <v>20</v>
      </c>
      <c r="O53">
        <v>8</v>
      </c>
      <c r="P53">
        <v>8</v>
      </c>
      <c r="Q53" s="2" t="s">
        <v>52</v>
      </c>
      <c r="R53" s="2" t="s">
        <v>20</v>
      </c>
      <c r="S53" s="2" t="s">
        <v>20</v>
      </c>
      <c r="V53">
        <v>8</v>
      </c>
      <c r="W53">
        <v>8</v>
      </c>
      <c r="X53" s="2" t="s">
        <v>52</v>
      </c>
      <c r="Y53" s="2" t="s">
        <v>20</v>
      </c>
      <c r="Z53" s="2" t="s">
        <v>20</v>
      </c>
      <c r="AA53">
        <v>8</v>
      </c>
      <c r="AB53">
        <v>8</v>
      </c>
      <c r="AC53">
        <v>8</v>
      </c>
      <c r="AD53">
        <v>8</v>
      </c>
      <c r="AE53" s="2" t="s">
        <v>52</v>
      </c>
      <c r="AF53" s="2" t="s">
        <v>20</v>
      </c>
      <c r="AG53" s="2" t="s">
        <v>20</v>
      </c>
      <c r="AH53" s="9"/>
      <c r="AI53" s="10">
        <f t="shared" si="4"/>
        <v>96</v>
      </c>
    </row>
    <row r="54" spans="2:37" x14ac:dyDescent="0.2">
      <c r="C54" t="s">
        <v>9</v>
      </c>
      <c r="D54" s="2" t="s">
        <v>20</v>
      </c>
      <c r="E54" s="2" t="s">
        <v>20</v>
      </c>
      <c r="J54" s="2" t="s">
        <v>52</v>
      </c>
      <c r="K54" s="2" t="s">
        <v>20</v>
      </c>
      <c r="L54" s="2" t="s">
        <v>20</v>
      </c>
      <c r="Q54" s="2" t="s">
        <v>52</v>
      </c>
      <c r="R54" s="2" t="s">
        <v>20</v>
      </c>
      <c r="S54" s="2" t="s">
        <v>20</v>
      </c>
      <c r="X54" s="2" t="s">
        <v>52</v>
      </c>
      <c r="Y54" s="2" t="s">
        <v>20</v>
      </c>
      <c r="Z54" s="2" t="s">
        <v>20</v>
      </c>
      <c r="AE54" s="2" t="s">
        <v>52</v>
      </c>
      <c r="AF54" s="2" t="s">
        <v>20</v>
      </c>
      <c r="AG54" s="2" t="s">
        <v>20</v>
      </c>
      <c r="AH54" s="9"/>
      <c r="AI54" s="10">
        <f t="shared" si="4"/>
        <v>0</v>
      </c>
    </row>
    <row r="55" spans="2:37" s="1" customFormat="1" x14ac:dyDescent="0.2">
      <c r="AI55" s="11">
        <f>SUM(AI46:AI54)</f>
        <v>128</v>
      </c>
      <c r="AK55" s="1">
        <f>SUM(AI55,AJ46:AK46)</f>
        <v>128</v>
      </c>
    </row>
    <row r="56" spans="2:37" x14ac:dyDescent="0.2">
      <c r="B56" t="s">
        <v>19</v>
      </c>
      <c r="C56" t="s">
        <v>16</v>
      </c>
      <c r="H56" s="2" t="s">
        <v>52</v>
      </c>
      <c r="I56" s="2" t="s">
        <v>20</v>
      </c>
      <c r="J56" s="2" t="s">
        <v>20</v>
      </c>
      <c r="O56" s="2" t="s">
        <v>52</v>
      </c>
      <c r="P56" s="2" t="s">
        <v>20</v>
      </c>
      <c r="Q56" s="2" t="s">
        <v>20</v>
      </c>
      <c r="V56" s="2" t="s">
        <v>52</v>
      </c>
      <c r="W56" s="2" t="s">
        <v>20</v>
      </c>
      <c r="X56" s="2" t="s">
        <v>20</v>
      </c>
      <c r="Y56" s="2" t="s">
        <v>33</v>
      </c>
      <c r="Z56" s="2" t="s">
        <v>33</v>
      </c>
      <c r="AA56" s="2" t="s">
        <v>33</v>
      </c>
      <c r="AB56" s="4" t="s">
        <v>25</v>
      </c>
      <c r="AC56" s="4" t="s">
        <v>25</v>
      </c>
      <c r="AD56" s="2" t="s">
        <v>20</v>
      </c>
      <c r="AE56" s="2" t="s">
        <v>20</v>
      </c>
      <c r="AF56" s="2" t="s">
        <v>33</v>
      </c>
      <c r="AG56" s="2" t="s">
        <v>33</v>
      </c>
      <c r="AH56" s="2" t="s">
        <v>33</v>
      </c>
      <c r="AI56" s="10">
        <f>SUM(D56:H56,K56:O56,R56:V56)</f>
        <v>0</v>
      </c>
      <c r="AJ56">
        <v>48</v>
      </c>
      <c r="AK56">
        <v>16</v>
      </c>
    </row>
    <row r="57" spans="2:37" x14ac:dyDescent="0.2">
      <c r="C57" t="s">
        <v>10</v>
      </c>
      <c r="H57" s="2" t="s">
        <v>52</v>
      </c>
      <c r="I57" s="2" t="s">
        <v>20</v>
      </c>
      <c r="J57" s="2" t="s">
        <v>20</v>
      </c>
      <c r="O57" s="2" t="s">
        <v>52</v>
      </c>
      <c r="P57" s="2" t="s">
        <v>20</v>
      </c>
      <c r="Q57" s="2" t="s">
        <v>20</v>
      </c>
      <c r="R57">
        <v>8</v>
      </c>
      <c r="S57">
        <v>8</v>
      </c>
      <c r="T57">
        <v>8</v>
      </c>
      <c r="U57">
        <v>8</v>
      </c>
      <c r="V57" s="2" t="s">
        <v>52</v>
      </c>
      <c r="W57" s="2" t="s">
        <v>20</v>
      </c>
      <c r="X57" s="2" t="s">
        <v>20</v>
      </c>
      <c r="Y57" s="2" t="s">
        <v>33</v>
      </c>
      <c r="Z57" s="2" t="s">
        <v>33</v>
      </c>
      <c r="AA57" s="2" t="s">
        <v>33</v>
      </c>
      <c r="AB57" s="4" t="s">
        <v>25</v>
      </c>
      <c r="AC57" s="4" t="s">
        <v>25</v>
      </c>
      <c r="AD57" s="2" t="s">
        <v>20</v>
      </c>
      <c r="AE57" s="2" t="s">
        <v>20</v>
      </c>
      <c r="AF57" s="2" t="s">
        <v>33</v>
      </c>
      <c r="AG57" s="2" t="s">
        <v>33</v>
      </c>
      <c r="AH57" s="2" t="s">
        <v>33</v>
      </c>
      <c r="AI57" s="10">
        <f t="shared" ref="AI57:AI64" si="5">SUM(D57:H57,K57:O57,R57:V57)</f>
        <v>32</v>
      </c>
    </row>
    <row r="58" spans="2:37" x14ac:dyDescent="0.2">
      <c r="B58" t="s">
        <v>38</v>
      </c>
      <c r="C58" t="s">
        <v>8</v>
      </c>
      <c r="H58" s="2" t="s">
        <v>52</v>
      </c>
      <c r="I58" s="2" t="s">
        <v>20</v>
      </c>
      <c r="J58" s="2" t="s">
        <v>20</v>
      </c>
      <c r="K58">
        <v>8</v>
      </c>
      <c r="L58">
        <v>8</v>
      </c>
      <c r="M58">
        <v>8</v>
      </c>
      <c r="N58">
        <v>8</v>
      </c>
      <c r="O58" s="2" t="s">
        <v>52</v>
      </c>
      <c r="P58" s="2" t="s">
        <v>20</v>
      </c>
      <c r="Q58" s="2" t="s">
        <v>20</v>
      </c>
      <c r="V58" s="2" t="s">
        <v>52</v>
      </c>
      <c r="W58" s="2" t="s">
        <v>20</v>
      </c>
      <c r="X58" s="2" t="s">
        <v>20</v>
      </c>
      <c r="Y58" s="2" t="s">
        <v>33</v>
      </c>
      <c r="Z58" s="2" t="s">
        <v>33</v>
      </c>
      <c r="AA58" s="2" t="s">
        <v>33</v>
      </c>
      <c r="AB58" s="4" t="s">
        <v>25</v>
      </c>
      <c r="AC58" s="4" t="s">
        <v>25</v>
      </c>
      <c r="AD58" s="2" t="s">
        <v>20</v>
      </c>
      <c r="AE58" s="2" t="s">
        <v>20</v>
      </c>
      <c r="AF58" s="2" t="s">
        <v>33</v>
      </c>
      <c r="AG58" s="2" t="s">
        <v>33</v>
      </c>
      <c r="AH58" s="2" t="s">
        <v>33</v>
      </c>
      <c r="AI58" s="10">
        <f t="shared" si="5"/>
        <v>32</v>
      </c>
    </row>
    <row r="59" spans="2:37" x14ac:dyDescent="0.2">
      <c r="C59" t="s">
        <v>13</v>
      </c>
      <c r="H59" s="2" t="s">
        <v>52</v>
      </c>
      <c r="I59" s="2" t="s">
        <v>20</v>
      </c>
      <c r="J59" s="2" t="s">
        <v>20</v>
      </c>
      <c r="O59" s="2" t="s">
        <v>52</v>
      </c>
      <c r="P59" s="2" t="s">
        <v>20</v>
      </c>
      <c r="Q59" s="2" t="s">
        <v>20</v>
      </c>
      <c r="V59" s="2" t="s">
        <v>52</v>
      </c>
      <c r="W59" s="2" t="s">
        <v>20</v>
      </c>
      <c r="X59" s="2" t="s">
        <v>20</v>
      </c>
      <c r="Y59" s="2" t="s">
        <v>33</v>
      </c>
      <c r="Z59" s="2" t="s">
        <v>33</v>
      </c>
      <c r="AA59" s="2" t="s">
        <v>33</v>
      </c>
      <c r="AB59" s="4" t="s">
        <v>25</v>
      </c>
      <c r="AC59" s="4" t="s">
        <v>25</v>
      </c>
      <c r="AD59" s="2" t="s">
        <v>20</v>
      </c>
      <c r="AE59" s="2" t="s">
        <v>20</v>
      </c>
      <c r="AF59" s="2" t="s">
        <v>33</v>
      </c>
      <c r="AG59" s="2" t="s">
        <v>33</v>
      </c>
      <c r="AH59" s="2" t="s">
        <v>33</v>
      </c>
      <c r="AI59" s="10">
        <f t="shared" si="5"/>
        <v>0</v>
      </c>
    </row>
    <row r="60" spans="2:37" x14ac:dyDescent="0.2">
      <c r="B60" t="s">
        <v>30</v>
      </c>
      <c r="C60" t="s">
        <v>11</v>
      </c>
      <c r="H60" s="2" t="s">
        <v>52</v>
      </c>
      <c r="I60" s="2" t="s">
        <v>20</v>
      </c>
      <c r="J60" s="2" t="s">
        <v>20</v>
      </c>
      <c r="O60" s="2" t="s">
        <v>52</v>
      </c>
      <c r="P60" s="2" t="s">
        <v>20</v>
      </c>
      <c r="Q60" s="2" t="s">
        <v>20</v>
      </c>
      <c r="V60" s="2" t="s">
        <v>52</v>
      </c>
      <c r="W60" s="2" t="s">
        <v>20</v>
      </c>
      <c r="X60" s="2" t="s">
        <v>20</v>
      </c>
      <c r="Y60" s="2" t="s">
        <v>33</v>
      </c>
      <c r="Z60" s="2" t="s">
        <v>33</v>
      </c>
      <c r="AA60" s="2" t="s">
        <v>33</v>
      </c>
      <c r="AB60" s="4" t="s">
        <v>25</v>
      </c>
      <c r="AC60" s="4" t="s">
        <v>25</v>
      </c>
      <c r="AD60" s="2" t="s">
        <v>20</v>
      </c>
      <c r="AE60" s="2" t="s">
        <v>20</v>
      </c>
      <c r="AF60" s="2" t="s">
        <v>33</v>
      </c>
      <c r="AG60" s="2" t="s">
        <v>33</v>
      </c>
      <c r="AH60" s="2" t="s">
        <v>33</v>
      </c>
      <c r="AI60" s="10">
        <f t="shared" si="5"/>
        <v>0</v>
      </c>
    </row>
    <row r="61" spans="2:37" x14ac:dyDescent="0.2">
      <c r="B61" t="s">
        <v>39</v>
      </c>
      <c r="C61" t="s">
        <v>35</v>
      </c>
      <c r="H61" s="2" t="s">
        <v>52</v>
      </c>
      <c r="I61" s="2" t="s">
        <v>20</v>
      </c>
      <c r="J61" s="2" t="s">
        <v>20</v>
      </c>
      <c r="O61" s="2" t="s">
        <v>52</v>
      </c>
      <c r="P61" s="2" t="s">
        <v>20</v>
      </c>
      <c r="Q61" s="2" t="s">
        <v>20</v>
      </c>
      <c r="V61" s="2" t="s">
        <v>52</v>
      </c>
      <c r="W61" s="2" t="s">
        <v>20</v>
      </c>
      <c r="X61" s="2" t="s">
        <v>20</v>
      </c>
      <c r="Y61" s="2" t="s">
        <v>33</v>
      </c>
      <c r="Z61" s="2" t="s">
        <v>33</v>
      </c>
      <c r="AA61" s="2" t="s">
        <v>33</v>
      </c>
      <c r="AB61" s="4" t="s">
        <v>25</v>
      </c>
      <c r="AC61" s="4" t="s">
        <v>25</v>
      </c>
      <c r="AD61" s="2" t="s">
        <v>20</v>
      </c>
      <c r="AE61" s="2" t="s">
        <v>20</v>
      </c>
      <c r="AF61" s="2" t="s">
        <v>33</v>
      </c>
      <c r="AG61" s="2" t="s">
        <v>33</v>
      </c>
      <c r="AH61" s="2" t="s">
        <v>33</v>
      </c>
      <c r="AI61" s="10">
        <f t="shared" si="5"/>
        <v>0</v>
      </c>
    </row>
    <row r="62" spans="2:37" x14ac:dyDescent="0.2">
      <c r="C62" t="s">
        <v>7</v>
      </c>
      <c r="D62">
        <v>8</v>
      </c>
      <c r="E62">
        <v>8</v>
      </c>
      <c r="F62">
        <v>8</v>
      </c>
      <c r="G62">
        <v>8</v>
      </c>
      <c r="H62" s="2" t="s">
        <v>52</v>
      </c>
      <c r="I62" s="2" t="s">
        <v>20</v>
      </c>
      <c r="J62" s="2" t="s">
        <v>20</v>
      </c>
      <c r="O62" s="2" t="s">
        <v>52</v>
      </c>
      <c r="P62" s="2" t="s">
        <v>20</v>
      </c>
      <c r="Q62" s="2" t="s">
        <v>20</v>
      </c>
      <c r="V62" s="2" t="s">
        <v>52</v>
      </c>
      <c r="W62" s="2" t="s">
        <v>20</v>
      </c>
      <c r="X62" s="2" t="s">
        <v>20</v>
      </c>
      <c r="Y62" s="2" t="s">
        <v>33</v>
      </c>
      <c r="Z62" s="2" t="s">
        <v>33</v>
      </c>
      <c r="AA62" s="2" t="s">
        <v>33</v>
      </c>
      <c r="AB62" s="4" t="s">
        <v>25</v>
      </c>
      <c r="AC62" s="4" t="s">
        <v>25</v>
      </c>
      <c r="AD62" s="2" t="s">
        <v>20</v>
      </c>
      <c r="AE62" s="2" t="s">
        <v>20</v>
      </c>
      <c r="AF62" s="2" t="s">
        <v>33</v>
      </c>
      <c r="AG62" s="2" t="s">
        <v>33</v>
      </c>
      <c r="AH62" s="2" t="s">
        <v>33</v>
      </c>
      <c r="AI62" s="10">
        <f t="shared" si="5"/>
        <v>32</v>
      </c>
    </row>
    <row r="63" spans="2:37" x14ac:dyDescent="0.2">
      <c r="B63" s="6">
        <v>120</v>
      </c>
      <c r="C63" t="s">
        <v>12</v>
      </c>
      <c r="H63" s="2" t="s">
        <v>52</v>
      </c>
      <c r="I63" s="2" t="s">
        <v>20</v>
      </c>
      <c r="J63" s="2" t="s">
        <v>20</v>
      </c>
      <c r="O63" s="2" t="s">
        <v>52</v>
      </c>
      <c r="P63" s="2" t="s">
        <v>20</v>
      </c>
      <c r="Q63" s="2" t="s">
        <v>20</v>
      </c>
      <c r="V63" s="2" t="s">
        <v>52</v>
      </c>
      <c r="W63" s="2" t="s">
        <v>20</v>
      </c>
      <c r="X63" s="2" t="s">
        <v>20</v>
      </c>
      <c r="Y63" s="2" t="s">
        <v>33</v>
      </c>
      <c r="Z63" s="2" t="s">
        <v>33</v>
      </c>
      <c r="AA63" s="2" t="s">
        <v>33</v>
      </c>
      <c r="AB63" s="4" t="s">
        <v>25</v>
      </c>
      <c r="AC63" s="4" t="s">
        <v>25</v>
      </c>
      <c r="AD63" s="2" t="s">
        <v>20</v>
      </c>
      <c r="AE63" s="2" t="s">
        <v>20</v>
      </c>
      <c r="AF63" s="2" t="s">
        <v>33</v>
      </c>
      <c r="AG63" s="2" t="s">
        <v>33</v>
      </c>
      <c r="AH63" s="2" t="s">
        <v>33</v>
      </c>
      <c r="AI63" s="10">
        <f t="shared" si="5"/>
        <v>0</v>
      </c>
    </row>
    <row r="64" spans="2:37" x14ac:dyDescent="0.2">
      <c r="C64" t="s">
        <v>9</v>
      </c>
      <c r="H64" s="2" t="s">
        <v>52</v>
      </c>
      <c r="I64" s="2" t="s">
        <v>20</v>
      </c>
      <c r="J64" s="2" t="s">
        <v>20</v>
      </c>
      <c r="O64" s="2" t="s">
        <v>52</v>
      </c>
      <c r="P64" s="2" t="s">
        <v>20</v>
      </c>
      <c r="Q64" s="2" t="s">
        <v>20</v>
      </c>
      <c r="V64" s="2" t="s">
        <v>52</v>
      </c>
      <c r="W64" s="2" t="s">
        <v>20</v>
      </c>
      <c r="X64" s="2" t="s">
        <v>20</v>
      </c>
      <c r="Y64" s="2" t="s">
        <v>33</v>
      </c>
      <c r="Z64" s="2" t="s">
        <v>33</v>
      </c>
      <c r="AA64" s="2" t="s">
        <v>33</v>
      </c>
      <c r="AB64" s="4" t="s">
        <v>25</v>
      </c>
      <c r="AC64" s="4" t="s">
        <v>25</v>
      </c>
      <c r="AD64" s="2" t="s">
        <v>20</v>
      </c>
      <c r="AE64" s="2" t="s">
        <v>20</v>
      </c>
      <c r="AF64" s="2" t="s">
        <v>33</v>
      </c>
      <c r="AG64" s="2" t="s">
        <v>33</v>
      </c>
      <c r="AH64" s="2" t="s">
        <v>33</v>
      </c>
      <c r="AI64" s="10">
        <f t="shared" si="5"/>
        <v>0</v>
      </c>
    </row>
    <row r="65" spans="2:37" s="1" customFormat="1" x14ac:dyDescent="0.2">
      <c r="AI65" s="11">
        <f>SUM(AI56:AI64)</f>
        <v>96</v>
      </c>
      <c r="AK65" s="1">
        <f>SUM(AI65,AJ56:AK56)</f>
        <v>160</v>
      </c>
    </row>
    <row r="66" spans="2:37" x14ac:dyDescent="0.2">
      <c r="B66" t="s">
        <v>41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EC39-79A2-4089-8757-F6D9D57D4B69}">
  <dimension ref="A1:AK65"/>
  <sheetViews>
    <sheetView zoomScale="160" zoomScaleNormal="160" workbookViewId="0">
      <selection activeCell="AA1" sqref="AA1:AA2"/>
    </sheetView>
  </sheetViews>
  <sheetFormatPr baseColWidth="10" defaultRowHeight="15" x14ac:dyDescent="0.2"/>
  <cols>
    <col min="1" max="2" width="14.83203125" customWidth="1"/>
    <col min="3" max="3" width="18.1640625" customWidth="1"/>
    <col min="4" max="34" width="7.6640625" customWidth="1"/>
    <col min="35" max="35" width="15.33203125" style="10" customWidth="1"/>
    <col min="36" max="36" width="15.33203125" customWidth="1"/>
  </cols>
  <sheetData>
    <row r="1" spans="1:37" x14ac:dyDescent="0.2">
      <c r="A1" t="s">
        <v>3</v>
      </c>
      <c r="B1" s="8">
        <v>2025</v>
      </c>
      <c r="F1" t="s">
        <v>21</v>
      </c>
      <c r="AA1" s="12" t="s">
        <v>63</v>
      </c>
    </row>
    <row r="2" spans="1:37" x14ac:dyDescent="0.2">
      <c r="A2" t="s">
        <v>2</v>
      </c>
      <c r="B2" s="6" t="s">
        <v>17</v>
      </c>
      <c r="C2" s="7" t="s">
        <v>46</v>
      </c>
      <c r="F2" t="s">
        <v>22</v>
      </c>
      <c r="AA2" s="12" t="s">
        <v>64</v>
      </c>
    </row>
    <row r="3" spans="1:37" x14ac:dyDescent="0.2">
      <c r="F3" t="s">
        <v>23</v>
      </c>
    </row>
    <row r="4" spans="1:37" x14ac:dyDescent="0.2">
      <c r="F4" t="s">
        <v>24</v>
      </c>
    </row>
    <row r="5" spans="1:37" x14ac:dyDescent="0.2">
      <c r="F5" t="s">
        <v>26</v>
      </c>
    </row>
    <row r="7" spans="1:37" x14ac:dyDescent="0.2">
      <c r="D7" s="1" t="s">
        <v>4</v>
      </c>
    </row>
    <row r="8" spans="1:37" s="3" customFormat="1" x14ac:dyDescent="0.2">
      <c r="A8" s="3" t="s">
        <v>0</v>
      </c>
      <c r="B8" s="3" t="s">
        <v>0</v>
      </c>
      <c r="C8" s="3" t="s">
        <v>1</v>
      </c>
      <c r="D8" s="3">
        <v>1</v>
      </c>
      <c r="E8" s="3">
        <v>2</v>
      </c>
      <c r="F8" s="3">
        <v>3</v>
      </c>
      <c r="G8" s="3">
        <v>4</v>
      </c>
      <c r="H8" s="3">
        <v>5</v>
      </c>
      <c r="I8" s="3">
        <v>6</v>
      </c>
      <c r="J8" s="3">
        <v>7</v>
      </c>
      <c r="K8" s="3">
        <v>8</v>
      </c>
      <c r="L8" s="3">
        <v>9</v>
      </c>
      <c r="M8" s="3">
        <v>10</v>
      </c>
      <c r="N8" s="3">
        <v>11</v>
      </c>
      <c r="O8" s="3">
        <v>12</v>
      </c>
      <c r="P8" s="3">
        <v>13</v>
      </c>
      <c r="Q8" s="3">
        <v>14</v>
      </c>
      <c r="R8" s="3">
        <v>15</v>
      </c>
      <c r="S8" s="3">
        <v>16</v>
      </c>
      <c r="T8" s="3">
        <v>17</v>
      </c>
      <c r="U8" s="3">
        <v>18</v>
      </c>
      <c r="V8" s="3">
        <v>19</v>
      </c>
      <c r="W8" s="3">
        <v>20</v>
      </c>
      <c r="X8" s="3">
        <v>21</v>
      </c>
      <c r="Y8" s="3">
        <v>22</v>
      </c>
      <c r="Z8" s="3">
        <v>23</v>
      </c>
      <c r="AA8" s="3">
        <v>24</v>
      </c>
      <c r="AB8" s="3">
        <v>25</v>
      </c>
      <c r="AC8" s="3">
        <v>26</v>
      </c>
      <c r="AD8" s="3">
        <v>27</v>
      </c>
      <c r="AE8" s="3">
        <v>28</v>
      </c>
      <c r="AF8" s="3">
        <v>29</v>
      </c>
      <c r="AG8" s="3">
        <v>30</v>
      </c>
      <c r="AH8" s="3">
        <v>31</v>
      </c>
      <c r="AI8" s="11" t="s">
        <v>34</v>
      </c>
      <c r="AJ8" s="3" t="s">
        <v>36</v>
      </c>
      <c r="AK8" s="3" t="s">
        <v>37</v>
      </c>
    </row>
    <row r="9" spans="1:37" x14ac:dyDescent="0.2">
      <c r="B9" s="6" t="s">
        <v>41</v>
      </c>
      <c r="C9" t="s">
        <v>6</v>
      </c>
      <c r="D9" s="2"/>
      <c r="E9" s="2"/>
      <c r="F9" s="2"/>
      <c r="G9" s="2"/>
      <c r="H9" s="2" t="s">
        <v>20</v>
      </c>
      <c r="I9" s="2" t="s">
        <v>20</v>
      </c>
      <c r="J9" s="2"/>
      <c r="K9" s="2"/>
      <c r="L9" s="2"/>
      <c r="M9" s="2"/>
      <c r="N9" s="2"/>
      <c r="O9" s="2" t="s">
        <v>20</v>
      </c>
      <c r="P9" s="2" t="s">
        <v>20</v>
      </c>
      <c r="Q9" s="2"/>
      <c r="R9" s="2"/>
      <c r="S9" s="2"/>
      <c r="T9" s="2"/>
      <c r="U9" s="2"/>
      <c r="V9" s="2" t="s">
        <v>20</v>
      </c>
      <c r="W9" s="2" t="s">
        <v>20</v>
      </c>
      <c r="X9" s="2"/>
      <c r="Y9" s="2"/>
      <c r="Z9" s="2"/>
      <c r="AA9" s="2"/>
      <c r="AB9" s="2"/>
      <c r="AC9" s="2" t="s">
        <v>20</v>
      </c>
      <c r="AD9" s="2" t="s">
        <v>20</v>
      </c>
      <c r="AE9" s="2"/>
      <c r="AF9" s="2"/>
      <c r="AG9" s="2"/>
      <c r="AH9" s="2"/>
      <c r="AI9" s="10">
        <f>SUM(D9:G9,J9:N9,Q9:U9,X9:AB9,AE9:AH9)</f>
        <v>0</v>
      </c>
      <c r="AJ9" s="2">
        <v>0</v>
      </c>
      <c r="AK9" s="2">
        <v>0</v>
      </c>
    </row>
    <row r="10" spans="1:37" x14ac:dyDescent="0.2">
      <c r="C10" t="s">
        <v>10</v>
      </c>
      <c r="D10" s="2"/>
      <c r="E10" s="2"/>
      <c r="F10" s="2"/>
      <c r="G10" s="2"/>
      <c r="H10" s="2" t="s">
        <v>20</v>
      </c>
      <c r="I10" s="2" t="s">
        <v>20</v>
      </c>
      <c r="J10" s="2"/>
      <c r="K10" s="2"/>
      <c r="L10" s="2"/>
      <c r="M10" s="2"/>
      <c r="N10" s="2"/>
      <c r="O10" s="2" t="s">
        <v>20</v>
      </c>
      <c r="P10" s="2" t="s">
        <v>20</v>
      </c>
      <c r="Q10" s="2"/>
      <c r="R10" s="2"/>
      <c r="S10" s="2"/>
      <c r="T10" s="2"/>
      <c r="U10" s="2"/>
      <c r="V10" s="2" t="s">
        <v>20</v>
      </c>
      <c r="W10" s="2" t="s">
        <v>20</v>
      </c>
      <c r="X10" s="2"/>
      <c r="Y10" s="2"/>
      <c r="Z10" s="2"/>
      <c r="AA10" s="2"/>
      <c r="AB10" s="2"/>
      <c r="AC10" s="2" t="s">
        <v>20</v>
      </c>
      <c r="AD10" s="2" t="s">
        <v>20</v>
      </c>
      <c r="AE10" s="2"/>
      <c r="AF10" s="2"/>
      <c r="AG10" s="2"/>
      <c r="AH10" s="2"/>
      <c r="AI10" s="10">
        <f t="shared" ref="AI10:AI16" si="0">SUM(D10:G10,J10:N10,Q10:U10,X10:AB10,AE10:AH10)</f>
        <v>0</v>
      </c>
      <c r="AJ10" s="2"/>
      <c r="AK10" s="2"/>
    </row>
    <row r="11" spans="1:37" x14ac:dyDescent="0.2">
      <c r="B11" t="s">
        <v>42</v>
      </c>
      <c r="C11" t="s">
        <v>8</v>
      </c>
      <c r="D11" s="2"/>
      <c r="E11" s="2"/>
      <c r="F11" s="2"/>
      <c r="G11" s="2"/>
      <c r="H11" s="2" t="s">
        <v>20</v>
      </c>
      <c r="I11" s="2" t="s">
        <v>20</v>
      </c>
      <c r="J11" s="2"/>
      <c r="K11" s="2"/>
      <c r="L11" s="2"/>
      <c r="M11" s="2"/>
      <c r="N11" s="2"/>
      <c r="O11" s="2" t="s">
        <v>20</v>
      </c>
      <c r="P11" s="2" t="s">
        <v>20</v>
      </c>
      <c r="Q11" s="2"/>
      <c r="R11" s="2"/>
      <c r="S11" s="2">
        <v>8</v>
      </c>
      <c r="T11" s="2">
        <v>8</v>
      </c>
      <c r="U11" s="2">
        <v>8</v>
      </c>
      <c r="V11" s="2" t="s">
        <v>20</v>
      </c>
      <c r="W11" s="2" t="s">
        <v>20</v>
      </c>
      <c r="X11" s="2">
        <v>8</v>
      </c>
      <c r="Y11" s="2">
        <v>8</v>
      </c>
      <c r="Z11" s="2">
        <v>8</v>
      </c>
      <c r="AA11" s="2">
        <v>8</v>
      </c>
      <c r="AB11" s="2">
        <v>8</v>
      </c>
      <c r="AC11" s="2" t="s">
        <v>20</v>
      </c>
      <c r="AD11" s="2" t="s">
        <v>20</v>
      </c>
      <c r="AE11" s="2">
        <v>8</v>
      </c>
      <c r="AF11" s="2">
        <v>8</v>
      </c>
      <c r="AG11" s="2">
        <v>8</v>
      </c>
      <c r="AH11" s="2">
        <v>8</v>
      </c>
      <c r="AI11" s="10">
        <f t="shared" si="0"/>
        <v>96</v>
      </c>
      <c r="AJ11" s="2"/>
      <c r="AK11" s="2"/>
    </row>
    <row r="12" spans="1:37" x14ac:dyDescent="0.2">
      <c r="C12" t="s">
        <v>13</v>
      </c>
      <c r="D12" s="2"/>
      <c r="E12" s="2"/>
      <c r="F12" s="2"/>
      <c r="G12" s="2"/>
      <c r="H12" s="2" t="s">
        <v>20</v>
      </c>
      <c r="I12" s="2" t="s">
        <v>20</v>
      </c>
      <c r="J12" s="2"/>
      <c r="K12" s="2"/>
      <c r="L12" s="2"/>
      <c r="M12" s="2"/>
      <c r="N12" s="2"/>
      <c r="O12" s="2" t="s">
        <v>20</v>
      </c>
      <c r="P12" s="2" t="s">
        <v>20</v>
      </c>
      <c r="Q12" s="2"/>
      <c r="R12" s="2"/>
      <c r="S12" s="2"/>
      <c r="T12" s="2"/>
      <c r="U12" s="2"/>
      <c r="V12" s="2" t="s">
        <v>20</v>
      </c>
      <c r="W12" s="2" t="s">
        <v>20</v>
      </c>
      <c r="X12" s="2"/>
      <c r="Y12" s="2"/>
      <c r="Z12" s="2"/>
      <c r="AA12" s="2"/>
      <c r="AB12" s="2"/>
      <c r="AC12" s="2" t="s">
        <v>20</v>
      </c>
      <c r="AD12" s="2" t="s">
        <v>20</v>
      </c>
      <c r="AE12" s="2"/>
      <c r="AF12" s="2"/>
      <c r="AG12" s="2"/>
      <c r="AH12" s="2"/>
      <c r="AI12" s="10">
        <f t="shared" si="0"/>
        <v>0</v>
      </c>
      <c r="AJ12" s="2"/>
      <c r="AK12" s="2"/>
    </row>
    <row r="13" spans="1:37" x14ac:dyDescent="0.2">
      <c r="B13" s="6">
        <v>184</v>
      </c>
      <c r="C13" t="s">
        <v>11</v>
      </c>
      <c r="D13" s="2">
        <v>8</v>
      </c>
      <c r="E13" s="2">
        <v>8</v>
      </c>
      <c r="F13" s="2">
        <v>8</v>
      </c>
      <c r="G13" s="2">
        <v>8</v>
      </c>
      <c r="H13" s="2" t="s">
        <v>20</v>
      </c>
      <c r="I13" s="2" t="s">
        <v>20</v>
      </c>
      <c r="J13" s="2">
        <v>8</v>
      </c>
      <c r="K13" s="2">
        <v>8</v>
      </c>
      <c r="L13" s="2">
        <v>8</v>
      </c>
      <c r="M13" s="2">
        <v>8</v>
      </c>
      <c r="N13" s="2" t="s">
        <v>33</v>
      </c>
      <c r="O13" s="2" t="s">
        <v>20</v>
      </c>
      <c r="P13" s="2" t="s">
        <v>20</v>
      </c>
      <c r="Q13" s="2">
        <v>8</v>
      </c>
      <c r="R13" s="2">
        <v>8</v>
      </c>
      <c r="S13" s="2"/>
      <c r="T13" s="2"/>
      <c r="U13" s="2"/>
      <c r="V13" s="2" t="s">
        <v>20</v>
      </c>
      <c r="W13" s="2" t="s">
        <v>20</v>
      </c>
      <c r="X13" s="2"/>
      <c r="Y13" s="2"/>
      <c r="Z13" s="2"/>
      <c r="AA13" s="2"/>
      <c r="AB13" s="2"/>
      <c r="AC13" s="2" t="s">
        <v>20</v>
      </c>
      <c r="AD13" s="2" t="s">
        <v>20</v>
      </c>
      <c r="AE13" s="2"/>
      <c r="AF13" s="2"/>
      <c r="AG13" s="2"/>
      <c r="AH13" s="2"/>
      <c r="AI13" s="10">
        <f t="shared" si="0"/>
        <v>80</v>
      </c>
      <c r="AJ13" s="2"/>
      <c r="AK13" s="2"/>
    </row>
    <row r="14" spans="1:37" x14ac:dyDescent="0.2">
      <c r="C14" t="s">
        <v>7</v>
      </c>
      <c r="D14" s="2"/>
      <c r="E14" s="2"/>
      <c r="F14" s="2"/>
      <c r="G14" s="2"/>
      <c r="H14" s="2" t="s">
        <v>20</v>
      </c>
      <c r="I14" s="2" t="s">
        <v>20</v>
      </c>
      <c r="J14" s="2"/>
      <c r="K14" s="2"/>
      <c r="L14" s="2"/>
      <c r="M14" s="2"/>
      <c r="N14" s="2"/>
      <c r="O14" s="2" t="s">
        <v>20</v>
      </c>
      <c r="P14" s="2" t="s">
        <v>20</v>
      </c>
      <c r="Q14" s="2"/>
      <c r="R14" s="2"/>
      <c r="S14" s="2"/>
      <c r="T14" s="2"/>
      <c r="U14" s="2"/>
      <c r="V14" s="2" t="s">
        <v>20</v>
      </c>
      <c r="W14" s="2" t="s">
        <v>20</v>
      </c>
      <c r="X14" s="2"/>
      <c r="Y14" s="2"/>
      <c r="Z14" s="2"/>
      <c r="AA14" s="2"/>
      <c r="AB14" s="2"/>
      <c r="AC14" s="2" t="s">
        <v>20</v>
      </c>
      <c r="AD14" s="2" t="s">
        <v>20</v>
      </c>
      <c r="AE14" s="2"/>
      <c r="AF14" s="2"/>
      <c r="AG14" s="2"/>
      <c r="AH14" s="2"/>
      <c r="AI14" s="10">
        <f t="shared" si="0"/>
        <v>0</v>
      </c>
      <c r="AJ14" s="2"/>
      <c r="AK14" s="2"/>
    </row>
    <row r="15" spans="1:37" x14ac:dyDescent="0.2">
      <c r="C15" t="s">
        <v>12</v>
      </c>
      <c r="D15" s="2"/>
      <c r="E15" s="2"/>
      <c r="F15" s="2"/>
      <c r="G15" s="2"/>
      <c r="H15" s="2" t="s">
        <v>20</v>
      </c>
      <c r="I15" s="2" t="s">
        <v>20</v>
      </c>
      <c r="J15" s="2"/>
      <c r="K15" s="2"/>
      <c r="L15" s="2"/>
      <c r="M15" s="2"/>
      <c r="N15" s="2"/>
      <c r="O15" s="2" t="s">
        <v>20</v>
      </c>
      <c r="P15" s="2" t="s">
        <v>20</v>
      </c>
      <c r="Q15" s="2"/>
      <c r="R15" s="2"/>
      <c r="S15" s="2"/>
      <c r="T15" s="2"/>
      <c r="U15" s="2"/>
      <c r="V15" s="2" t="s">
        <v>20</v>
      </c>
      <c r="W15" s="2" t="s">
        <v>20</v>
      </c>
      <c r="X15" s="2"/>
      <c r="Y15" s="2"/>
      <c r="Z15" s="2"/>
      <c r="AA15" s="2"/>
      <c r="AB15" s="2"/>
      <c r="AC15" s="2" t="s">
        <v>20</v>
      </c>
      <c r="AD15" s="2" t="s">
        <v>20</v>
      </c>
      <c r="AE15" s="2"/>
      <c r="AF15" s="2"/>
      <c r="AG15" s="2"/>
      <c r="AH15" s="2"/>
      <c r="AI15" s="10">
        <f t="shared" si="0"/>
        <v>0</v>
      </c>
      <c r="AJ15" s="2"/>
      <c r="AK15" s="2"/>
    </row>
    <row r="16" spans="1:37" x14ac:dyDescent="0.2">
      <c r="C16" t="s">
        <v>9</v>
      </c>
      <c r="D16" s="2"/>
      <c r="E16" s="2"/>
      <c r="F16" s="2"/>
      <c r="G16" s="2"/>
      <c r="H16" s="2" t="s">
        <v>20</v>
      </c>
      <c r="I16" s="2" t="s">
        <v>20</v>
      </c>
      <c r="J16" s="2"/>
      <c r="K16" s="2"/>
      <c r="L16" s="2"/>
      <c r="M16" s="2"/>
      <c r="N16" s="2"/>
      <c r="O16" s="2" t="s">
        <v>20</v>
      </c>
      <c r="P16" s="2" t="s">
        <v>20</v>
      </c>
      <c r="Q16" s="2"/>
      <c r="R16" s="2"/>
      <c r="S16" s="2"/>
      <c r="T16" s="2"/>
      <c r="U16" s="2"/>
      <c r="V16" s="2" t="s">
        <v>20</v>
      </c>
      <c r="W16" s="2" t="s">
        <v>20</v>
      </c>
      <c r="X16" s="2"/>
      <c r="Y16" s="2"/>
      <c r="Z16" s="2"/>
      <c r="AA16" s="2"/>
      <c r="AB16" s="2"/>
      <c r="AC16" s="2" t="s">
        <v>20</v>
      </c>
      <c r="AD16" s="2" t="s">
        <v>20</v>
      </c>
      <c r="AE16" s="2"/>
      <c r="AF16" s="2"/>
      <c r="AG16" s="2"/>
      <c r="AH16" s="2"/>
      <c r="AI16" s="10">
        <f t="shared" si="0"/>
        <v>0</v>
      </c>
      <c r="AJ16" s="2"/>
      <c r="AK16" s="2"/>
    </row>
    <row r="17" spans="2:37" s="3" customFormat="1" x14ac:dyDescent="0.2">
      <c r="AI17" s="11">
        <f>SUM(AI9:AI16)</f>
        <v>176</v>
      </c>
      <c r="AK17" s="3">
        <f>SUM(AI17,AJ9:AK9)</f>
        <v>176</v>
      </c>
    </row>
    <row r="18" spans="2:37" x14ac:dyDescent="0.2">
      <c r="B18" s="6" t="s">
        <v>5</v>
      </c>
      <c r="C18" t="s">
        <v>6</v>
      </c>
      <c r="E18" s="2" t="s">
        <v>20</v>
      </c>
      <c r="F18" s="2" t="s">
        <v>20</v>
      </c>
      <c r="L18" s="2" t="s">
        <v>20</v>
      </c>
      <c r="M18" s="2" t="s">
        <v>20</v>
      </c>
      <c r="S18" s="2" t="s">
        <v>20</v>
      </c>
      <c r="T18" s="2" t="s">
        <v>20</v>
      </c>
      <c r="Z18" s="2" t="s">
        <v>20</v>
      </c>
      <c r="AA18" s="2" t="s">
        <v>20</v>
      </c>
      <c r="AG18" s="2" t="s">
        <v>20</v>
      </c>
      <c r="AH18" s="2" t="s">
        <v>20</v>
      </c>
      <c r="AI18" s="10">
        <f>SUM(D18,G18:K18,N18:R18,U18:Y18,AB18:AF18)</f>
        <v>0</v>
      </c>
      <c r="AJ18">
        <v>0</v>
      </c>
      <c r="AK18">
        <v>0</v>
      </c>
    </row>
    <row r="19" spans="2:37" x14ac:dyDescent="0.2">
      <c r="C19" t="s">
        <v>10</v>
      </c>
      <c r="E19" s="2" t="s">
        <v>20</v>
      </c>
      <c r="F19" s="2" t="s">
        <v>20</v>
      </c>
      <c r="L19" s="2" t="s">
        <v>20</v>
      </c>
      <c r="M19" s="2" t="s">
        <v>20</v>
      </c>
      <c r="R19">
        <v>8</v>
      </c>
      <c r="S19" s="2" t="s">
        <v>20</v>
      </c>
      <c r="T19" s="2" t="s">
        <v>20</v>
      </c>
      <c r="U19">
        <v>8</v>
      </c>
      <c r="V19">
        <v>8</v>
      </c>
      <c r="W19">
        <v>8</v>
      </c>
      <c r="X19">
        <v>8</v>
      </c>
      <c r="Z19" s="2" t="s">
        <v>20</v>
      </c>
      <c r="AA19" s="2" t="s">
        <v>20</v>
      </c>
      <c r="AG19" s="2" t="s">
        <v>20</v>
      </c>
      <c r="AH19" s="2" t="s">
        <v>20</v>
      </c>
      <c r="AI19" s="10">
        <f t="shared" ref="AI19:AI25" si="1">SUM(D19,G19:K19,N19:R19,U19:Y19,AB19:AF19)</f>
        <v>40</v>
      </c>
    </row>
    <row r="20" spans="2:37" x14ac:dyDescent="0.2">
      <c r="B20" t="s">
        <v>28</v>
      </c>
      <c r="C20" t="s">
        <v>8</v>
      </c>
      <c r="E20" s="2" t="s">
        <v>20</v>
      </c>
      <c r="F20" s="2" t="s">
        <v>20</v>
      </c>
      <c r="L20" s="2" t="s">
        <v>20</v>
      </c>
      <c r="M20" s="2" t="s">
        <v>20</v>
      </c>
      <c r="S20" s="2" t="s">
        <v>20</v>
      </c>
      <c r="T20" s="2" t="s">
        <v>20</v>
      </c>
      <c r="Z20" s="2" t="s">
        <v>20</v>
      </c>
      <c r="AA20" s="2" t="s">
        <v>20</v>
      </c>
      <c r="AB20">
        <v>8</v>
      </c>
      <c r="AC20">
        <v>8</v>
      </c>
      <c r="AD20">
        <v>8</v>
      </c>
      <c r="AE20">
        <v>8</v>
      </c>
      <c r="AF20">
        <v>8</v>
      </c>
      <c r="AG20" s="2" t="s">
        <v>20</v>
      </c>
      <c r="AH20" s="2" t="s">
        <v>20</v>
      </c>
      <c r="AI20" s="10">
        <f t="shared" si="1"/>
        <v>40</v>
      </c>
    </row>
    <row r="21" spans="2:37" x14ac:dyDescent="0.2">
      <c r="C21" t="s">
        <v>13</v>
      </c>
      <c r="E21" s="2" t="s">
        <v>20</v>
      </c>
      <c r="F21" s="2" t="s">
        <v>20</v>
      </c>
      <c r="L21" s="2" t="s">
        <v>20</v>
      </c>
      <c r="M21" s="2" t="s">
        <v>20</v>
      </c>
      <c r="S21" s="2" t="s">
        <v>20</v>
      </c>
      <c r="T21" s="2" t="s">
        <v>20</v>
      </c>
      <c r="Z21" s="2" t="s">
        <v>20</v>
      </c>
      <c r="AA21" s="2" t="s">
        <v>20</v>
      </c>
      <c r="AG21" s="2" t="s">
        <v>20</v>
      </c>
      <c r="AH21" s="2" t="s">
        <v>20</v>
      </c>
      <c r="AI21" s="10">
        <f t="shared" si="1"/>
        <v>0</v>
      </c>
    </row>
    <row r="22" spans="2:37" x14ac:dyDescent="0.2">
      <c r="B22" s="6">
        <v>168</v>
      </c>
      <c r="C22" t="s">
        <v>11</v>
      </c>
      <c r="D22">
        <v>8</v>
      </c>
      <c r="E22" s="2" t="s">
        <v>20</v>
      </c>
      <c r="F22" s="2" t="s">
        <v>20</v>
      </c>
      <c r="G22">
        <v>8</v>
      </c>
      <c r="H22">
        <v>8</v>
      </c>
      <c r="I22">
        <v>8</v>
      </c>
      <c r="J22">
        <v>8</v>
      </c>
      <c r="K22">
        <v>8</v>
      </c>
      <c r="L22" s="2" t="s">
        <v>20</v>
      </c>
      <c r="M22" s="2" t="s">
        <v>20</v>
      </c>
      <c r="N22">
        <v>8</v>
      </c>
      <c r="O22">
        <v>8</v>
      </c>
      <c r="P22">
        <v>8</v>
      </c>
      <c r="Q22">
        <v>8</v>
      </c>
      <c r="S22" s="2" t="s">
        <v>20</v>
      </c>
      <c r="T22" s="2" t="s">
        <v>20</v>
      </c>
      <c r="Y22" t="s">
        <v>33</v>
      </c>
      <c r="Z22" s="2" t="s">
        <v>20</v>
      </c>
      <c r="AA22" s="2" t="s">
        <v>20</v>
      </c>
      <c r="AG22" s="2" t="s">
        <v>20</v>
      </c>
      <c r="AH22" s="2" t="s">
        <v>20</v>
      </c>
      <c r="AI22" s="10">
        <f t="shared" si="1"/>
        <v>80</v>
      </c>
    </row>
    <row r="23" spans="2:37" x14ac:dyDescent="0.2">
      <c r="C23" t="s">
        <v>7</v>
      </c>
      <c r="E23" s="2" t="s">
        <v>20</v>
      </c>
      <c r="F23" s="2" t="s">
        <v>20</v>
      </c>
      <c r="L23" s="2" t="s">
        <v>20</v>
      </c>
      <c r="M23" s="2" t="s">
        <v>20</v>
      </c>
      <c r="S23" s="2" t="s">
        <v>20</v>
      </c>
      <c r="T23" s="2" t="s">
        <v>20</v>
      </c>
      <c r="Z23" s="2" t="s">
        <v>20</v>
      </c>
      <c r="AA23" s="2" t="s">
        <v>20</v>
      </c>
      <c r="AG23" s="2" t="s">
        <v>20</v>
      </c>
      <c r="AH23" s="2" t="s">
        <v>20</v>
      </c>
      <c r="AI23" s="10">
        <f t="shared" si="1"/>
        <v>0</v>
      </c>
    </row>
    <row r="24" spans="2:37" x14ac:dyDescent="0.2">
      <c r="C24" t="s">
        <v>12</v>
      </c>
      <c r="E24" s="2" t="s">
        <v>20</v>
      </c>
      <c r="F24" s="2" t="s">
        <v>20</v>
      </c>
      <c r="L24" s="2" t="s">
        <v>20</v>
      </c>
      <c r="M24" s="2" t="s">
        <v>20</v>
      </c>
      <c r="S24" s="2" t="s">
        <v>20</v>
      </c>
      <c r="T24" s="2" t="s">
        <v>20</v>
      </c>
      <c r="Z24" s="2" t="s">
        <v>20</v>
      </c>
      <c r="AA24" s="2" t="s">
        <v>20</v>
      </c>
      <c r="AG24" s="2" t="s">
        <v>20</v>
      </c>
      <c r="AH24" s="2" t="s">
        <v>20</v>
      </c>
      <c r="AI24" s="10">
        <f t="shared" si="1"/>
        <v>0</v>
      </c>
    </row>
    <row r="25" spans="2:37" x14ac:dyDescent="0.2">
      <c r="C25" t="s">
        <v>9</v>
      </c>
      <c r="E25" s="2" t="s">
        <v>20</v>
      </c>
      <c r="F25" s="2" t="s">
        <v>20</v>
      </c>
      <c r="L25" s="2" t="s">
        <v>20</v>
      </c>
      <c r="M25" s="2" t="s">
        <v>20</v>
      </c>
      <c r="S25" s="2" t="s">
        <v>20</v>
      </c>
      <c r="T25" s="2" t="s">
        <v>20</v>
      </c>
      <c r="Z25" s="2" t="s">
        <v>20</v>
      </c>
      <c r="AA25" s="2" t="s">
        <v>20</v>
      </c>
      <c r="AG25" s="2" t="s">
        <v>20</v>
      </c>
      <c r="AH25" s="2" t="s">
        <v>20</v>
      </c>
      <c r="AI25" s="10">
        <f t="shared" si="1"/>
        <v>0</v>
      </c>
    </row>
    <row r="26" spans="2:37" s="1" customFormat="1" x14ac:dyDescent="0.2">
      <c r="AI26" s="11">
        <f>SUM(AI18:AI25)</f>
        <v>160</v>
      </c>
      <c r="AK26" s="1">
        <f>SUM(AI26,AJ18:AK18)</f>
        <v>160</v>
      </c>
    </row>
    <row r="27" spans="2:37" x14ac:dyDescent="0.2">
      <c r="B27" s="6" t="s">
        <v>14</v>
      </c>
      <c r="C27" t="s">
        <v>6</v>
      </c>
      <c r="I27" s="2" t="s">
        <v>20</v>
      </c>
      <c r="J27" s="2" t="s">
        <v>20</v>
      </c>
      <c r="P27" s="2" t="s">
        <v>20</v>
      </c>
      <c r="Q27" s="2" t="s">
        <v>20</v>
      </c>
      <c r="V27" s="2" t="s">
        <v>33</v>
      </c>
      <c r="W27" s="2" t="s">
        <v>20</v>
      </c>
      <c r="X27" s="2" t="s">
        <v>20</v>
      </c>
      <c r="Y27" s="2" t="s">
        <v>33</v>
      </c>
      <c r="Z27" s="2" t="s">
        <v>33</v>
      </c>
      <c r="AA27" s="2" t="s">
        <v>33</v>
      </c>
      <c r="AB27" s="2" t="s">
        <v>33</v>
      </c>
      <c r="AC27" s="2" t="s">
        <v>33</v>
      </c>
      <c r="AD27" s="2" t="s">
        <v>20</v>
      </c>
      <c r="AE27" s="2" t="s">
        <v>20</v>
      </c>
      <c r="AG27" s="2"/>
      <c r="AH27" s="9"/>
      <c r="AI27" s="10">
        <f>SUM(D27:H27,K27:O27,R27:V27,Y27:AC27,AF27:AG27)</f>
        <v>0</v>
      </c>
      <c r="AJ27">
        <v>48</v>
      </c>
      <c r="AK27">
        <v>0</v>
      </c>
    </row>
    <row r="28" spans="2:37" x14ac:dyDescent="0.2">
      <c r="C28" t="s">
        <v>10</v>
      </c>
      <c r="I28" s="2" t="s">
        <v>20</v>
      </c>
      <c r="J28" s="2" t="s">
        <v>20</v>
      </c>
      <c r="P28" s="2" t="s">
        <v>20</v>
      </c>
      <c r="Q28" s="2" t="s">
        <v>20</v>
      </c>
      <c r="R28">
        <v>8</v>
      </c>
      <c r="S28">
        <v>8</v>
      </c>
      <c r="T28">
        <v>8</v>
      </c>
      <c r="U28">
        <v>8</v>
      </c>
      <c r="V28" s="2" t="s">
        <v>33</v>
      </c>
      <c r="W28" s="2" t="s">
        <v>20</v>
      </c>
      <c r="X28" s="2" t="s">
        <v>20</v>
      </c>
      <c r="Y28" s="2" t="s">
        <v>33</v>
      </c>
      <c r="Z28" s="2" t="s">
        <v>33</v>
      </c>
      <c r="AA28" s="2" t="s">
        <v>33</v>
      </c>
      <c r="AB28" s="2" t="s">
        <v>33</v>
      </c>
      <c r="AC28" s="2" t="s">
        <v>33</v>
      </c>
      <c r="AD28" s="2" t="s">
        <v>20</v>
      </c>
      <c r="AE28" s="2" t="s">
        <v>20</v>
      </c>
      <c r="AF28">
        <v>8</v>
      </c>
      <c r="AG28">
        <v>8</v>
      </c>
      <c r="AH28" s="9"/>
      <c r="AI28" s="10">
        <f t="shared" ref="AI28:AI34" si="2">SUM(D28:H28,K28:O28,R28:V28,Y28:AC28,AF28:AG28)</f>
        <v>48</v>
      </c>
    </row>
    <row r="29" spans="2:37" x14ac:dyDescent="0.2">
      <c r="B29" t="s">
        <v>29</v>
      </c>
      <c r="C29" t="s">
        <v>8</v>
      </c>
      <c r="D29">
        <v>8</v>
      </c>
      <c r="E29">
        <v>8</v>
      </c>
      <c r="F29">
        <v>8</v>
      </c>
      <c r="G29">
        <v>8</v>
      </c>
      <c r="H29">
        <v>8</v>
      </c>
      <c r="I29" s="2" t="s">
        <v>20</v>
      </c>
      <c r="J29" s="2" t="s">
        <v>20</v>
      </c>
      <c r="K29">
        <v>8</v>
      </c>
      <c r="L29">
        <v>8</v>
      </c>
      <c r="P29" s="2" t="s">
        <v>20</v>
      </c>
      <c r="Q29" s="2" t="s">
        <v>20</v>
      </c>
      <c r="V29" s="2" t="s">
        <v>33</v>
      </c>
      <c r="W29" s="2" t="s">
        <v>20</v>
      </c>
      <c r="X29" s="2" t="s">
        <v>20</v>
      </c>
      <c r="Y29" s="2" t="s">
        <v>33</v>
      </c>
      <c r="Z29" s="2" t="s">
        <v>33</v>
      </c>
      <c r="AA29" s="2" t="s">
        <v>33</v>
      </c>
      <c r="AB29" s="2" t="s">
        <v>33</v>
      </c>
      <c r="AC29" s="2" t="s">
        <v>33</v>
      </c>
      <c r="AD29" s="2" t="s">
        <v>20</v>
      </c>
      <c r="AE29" s="2" t="s">
        <v>20</v>
      </c>
      <c r="AH29" s="9"/>
      <c r="AI29" s="10">
        <f t="shared" si="2"/>
        <v>56</v>
      </c>
    </row>
    <row r="30" spans="2:37" x14ac:dyDescent="0.2">
      <c r="C30" t="s">
        <v>13</v>
      </c>
      <c r="I30" s="2" t="s">
        <v>20</v>
      </c>
      <c r="J30" s="2" t="s">
        <v>20</v>
      </c>
      <c r="P30" s="2" t="s">
        <v>20</v>
      </c>
      <c r="Q30" s="2" t="s">
        <v>20</v>
      </c>
      <c r="V30" s="2" t="s">
        <v>33</v>
      </c>
      <c r="W30" s="2" t="s">
        <v>20</v>
      </c>
      <c r="X30" s="2" t="s">
        <v>20</v>
      </c>
      <c r="Y30" s="2" t="s">
        <v>33</v>
      </c>
      <c r="Z30" s="2" t="s">
        <v>33</v>
      </c>
      <c r="AA30" s="2" t="s">
        <v>33</v>
      </c>
      <c r="AB30" s="2" t="s">
        <v>33</v>
      </c>
      <c r="AC30" s="2" t="s">
        <v>33</v>
      </c>
      <c r="AD30" s="2" t="s">
        <v>20</v>
      </c>
      <c r="AE30" s="2" t="s">
        <v>20</v>
      </c>
      <c r="AH30" s="9"/>
      <c r="AI30" s="10">
        <f t="shared" si="2"/>
        <v>0</v>
      </c>
    </row>
    <row r="31" spans="2:37" x14ac:dyDescent="0.2">
      <c r="B31" s="6">
        <v>176</v>
      </c>
      <c r="C31" t="s">
        <v>11</v>
      </c>
      <c r="I31" s="2" t="s">
        <v>20</v>
      </c>
      <c r="J31" s="2" t="s">
        <v>20</v>
      </c>
      <c r="P31" s="2" t="s">
        <v>20</v>
      </c>
      <c r="Q31" s="2" t="s">
        <v>20</v>
      </c>
      <c r="V31" s="2" t="s">
        <v>33</v>
      </c>
      <c r="W31" s="2" t="s">
        <v>20</v>
      </c>
      <c r="X31" s="2" t="s">
        <v>20</v>
      </c>
      <c r="Y31" s="2" t="s">
        <v>33</v>
      </c>
      <c r="Z31" s="2" t="s">
        <v>33</v>
      </c>
      <c r="AA31" s="2" t="s">
        <v>33</v>
      </c>
      <c r="AB31" s="2" t="s">
        <v>33</v>
      </c>
      <c r="AC31" s="2" t="s">
        <v>33</v>
      </c>
      <c r="AD31" s="2" t="s">
        <v>20</v>
      </c>
      <c r="AE31" s="2" t="s">
        <v>20</v>
      </c>
      <c r="AH31" s="9"/>
      <c r="AI31" s="10">
        <f t="shared" si="2"/>
        <v>0</v>
      </c>
    </row>
    <row r="32" spans="2:37" x14ac:dyDescent="0.2">
      <c r="C32" t="s">
        <v>7</v>
      </c>
      <c r="I32" s="2" t="s">
        <v>20</v>
      </c>
      <c r="J32" s="2" t="s">
        <v>20</v>
      </c>
      <c r="M32">
        <v>8</v>
      </c>
      <c r="N32">
        <v>8</v>
      </c>
      <c r="O32">
        <v>8</v>
      </c>
      <c r="P32" s="2" t="s">
        <v>20</v>
      </c>
      <c r="Q32" s="2" t="s">
        <v>20</v>
      </c>
      <c r="V32" s="2" t="s">
        <v>33</v>
      </c>
      <c r="W32" s="2" t="s">
        <v>20</v>
      </c>
      <c r="X32" s="2" t="s">
        <v>20</v>
      </c>
      <c r="Y32" s="2" t="s">
        <v>33</v>
      </c>
      <c r="Z32" s="2" t="s">
        <v>33</v>
      </c>
      <c r="AA32" s="2" t="s">
        <v>33</v>
      </c>
      <c r="AB32" s="2" t="s">
        <v>33</v>
      </c>
      <c r="AC32" s="2" t="s">
        <v>33</v>
      </c>
      <c r="AD32" s="2" t="s">
        <v>20</v>
      </c>
      <c r="AE32" s="2" t="s">
        <v>20</v>
      </c>
      <c r="AH32" s="9"/>
      <c r="AI32" s="10">
        <f t="shared" si="2"/>
        <v>24</v>
      </c>
    </row>
    <row r="33" spans="2:37" x14ac:dyDescent="0.2">
      <c r="C33" t="s">
        <v>12</v>
      </c>
      <c r="I33" s="2" t="s">
        <v>20</v>
      </c>
      <c r="J33" s="2" t="s">
        <v>20</v>
      </c>
      <c r="P33" s="2" t="s">
        <v>20</v>
      </c>
      <c r="Q33" s="2" t="s">
        <v>20</v>
      </c>
      <c r="V33" s="2" t="s">
        <v>33</v>
      </c>
      <c r="W33" s="2" t="s">
        <v>20</v>
      </c>
      <c r="X33" s="2" t="s">
        <v>20</v>
      </c>
      <c r="Y33" s="2" t="s">
        <v>33</v>
      </c>
      <c r="Z33" s="2" t="s">
        <v>33</v>
      </c>
      <c r="AA33" s="2" t="s">
        <v>33</v>
      </c>
      <c r="AB33" s="2" t="s">
        <v>33</v>
      </c>
      <c r="AC33" s="2" t="s">
        <v>33</v>
      </c>
      <c r="AD33" s="2" t="s">
        <v>20</v>
      </c>
      <c r="AE33" s="2" t="s">
        <v>20</v>
      </c>
      <c r="AH33" s="9"/>
      <c r="AI33" s="10">
        <f t="shared" si="2"/>
        <v>0</v>
      </c>
    </row>
    <row r="34" spans="2:37" x14ac:dyDescent="0.2">
      <c r="C34" t="s">
        <v>9</v>
      </c>
      <c r="I34" s="2" t="s">
        <v>20</v>
      </c>
      <c r="J34" s="2" t="s">
        <v>20</v>
      </c>
      <c r="P34" s="2" t="s">
        <v>20</v>
      </c>
      <c r="Q34" s="2" t="s">
        <v>20</v>
      </c>
      <c r="V34" s="2" t="s">
        <v>33</v>
      </c>
      <c r="W34" s="2" t="s">
        <v>20</v>
      </c>
      <c r="X34" s="2" t="s">
        <v>20</v>
      </c>
      <c r="Y34" s="2" t="s">
        <v>33</v>
      </c>
      <c r="Z34" s="2" t="s">
        <v>33</v>
      </c>
      <c r="AA34" s="2" t="s">
        <v>33</v>
      </c>
      <c r="AB34" s="2" t="s">
        <v>33</v>
      </c>
      <c r="AC34" s="2" t="s">
        <v>33</v>
      </c>
      <c r="AD34" s="2" t="s">
        <v>20</v>
      </c>
      <c r="AE34" s="2" t="s">
        <v>20</v>
      </c>
      <c r="AH34" s="9"/>
      <c r="AI34" s="10">
        <f t="shared" si="2"/>
        <v>0</v>
      </c>
    </row>
    <row r="35" spans="2:37" s="1" customFormat="1" x14ac:dyDescent="0.2">
      <c r="AI35" s="11">
        <f>SUM(AI27:AI34)</f>
        <v>128</v>
      </c>
      <c r="AK35" s="1">
        <f>SUM(AI35,AJ27:AK27)</f>
        <v>176</v>
      </c>
    </row>
    <row r="36" spans="2:37" x14ac:dyDescent="0.2">
      <c r="B36" s="6" t="s">
        <v>15</v>
      </c>
      <c r="C36" t="s">
        <v>16</v>
      </c>
      <c r="F36" s="4" t="s">
        <v>25</v>
      </c>
      <c r="G36" s="2" t="s">
        <v>20</v>
      </c>
      <c r="H36" s="2" t="s">
        <v>20</v>
      </c>
      <c r="N36" s="2" t="s">
        <v>20</v>
      </c>
      <c r="O36" s="2" t="s">
        <v>20</v>
      </c>
      <c r="U36" s="2" t="s">
        <v>20</v>
      </c>
      <c r="V36" s="2" t="s">
        <v>20</v>
      </c>
      <c r="AB36" s="2" t="s">
        <v>20</v>
      </c>
      <c r="AC36" s="2" t="s">
        <v>20</v>
      </c>
      <c r="AH36" s="4" t="s">
        <v>25</v>
      </c>
      <c r="AI36" s="10">
        <f>SUM(D36:E36,I36:M36,P36:T36,W36:AA36,AD36:AG36)</f>
        <v>0</v>
      </c>
      <c r="AK36">
        <v>16</v>
      </c>
    </row>
    <row r="37" spans="2:37" x14ac:dyDescent="0.2">
      <c r="C37" t="s">
        <v>10</v>
      </c>
      <c r="F37" s="4" t="s">
        <v>25</v>
      </c>
      <c r="G37" s="2" t="s">
        <v>20</v>
      </c>
      <c r="H37" s="2" t="s">
        <v>20</v>
      </c>
      <c r="N37" s="2" t="s">
        <v>20</v>
      </c>
      <c r="O37" s="2" t="s">
        <v>20</v>
      </c>
      <c r="P37">
        <v>8</v>
      </c>
      <c r="Q37">
        <v>8</v>
      </c>
      <c r="R37">
        <v>8</v>
      </c>
      <c r="S37">
        <v>8</v>
      </c>
      <c r="T37">
        <v>8</v>
      </c>
      <c r="U37" s="2" t="s">
        <v>20</v>
      </c>
      <c r="V37" s="2" t="s">
        <v>20</v>
      </c>
      <c r="AB37" s="2" t="s">
        <v>20</v>
      </c>
      <c r="AC37" s="2" t="s">
        <v>20</v>
      </c>
      <c r="AD37">
        <v>8</v>
      </c>
      <c r="AE37">
        <v>8</v>
      </c>
      <c r="AF37">
        <v>8</v>
      </c>
      <c r="AG37">
        <v>8</v>
      </c>
      <c r="AH37" s="4" t="s">
        <v>25</v>
      </c>
      <c r="AI37" s="10">
        <f t="shared" ref="AI37:AI44" si="3">SUM(D37:E37,I37:M37,P37:T37,W37:AA37,AD37:AG37)</f>
        <v>72</v>
      </c>
    </row>
    <row r="38" spans="2:37" x14ac:dyDescent="0.2">
      <c r="B38" t="s">
        <v>29</v>
      </c>
      <c r="C38" t="s">
        <v>8</v>
      </c>
      <c r="D38">
        <v>8</v>
      </c>
      <c r="E38">
        <v>8</v>
      </c>
      <c r="F38" s="4" t="s">
        <v>25</v>
      </c>
      <c r="G38" s="2" t="s">
        <v>20</v>
      </c>
      <c r="H38" s="2" t="s">
        <v>20</v>
      </c>
      <c r="I38">
        <v>8</v>
      </c>
      <c r="J38">
        <v>8</v>
      </c>
      <c r="K38">
        <v>8</v>
      </c>
      <c r="L38">
        <v>8</v>
      </c>
      <c r="M38">
        <v>8</v>
      </c>
      <c r="N38" s="2" t="s">
        <v>20</v>
      </c>
      <c r="O38" s="2" t="s">
        <v>20</v>
      </c>
      <c r="U38" s="2" t="s">
        <v>20</v>
      </c>
      <c r="V38" s="2" t="s">
        <v>20</v>
      </c>
      <c r="AB38" s="2" t="s">
        <v>20</v>
      </c>
      <c r="AC38" s="2" t="s">
        <v>20</v>
      </c>
      <c r="AH38" s="4" t="s">
        <v>25</v>
      </c>
      <c r="AI38" s="10">
        <f>SUM(D38:E38,I38:M38,P38:T38,W38:AA38,AD38:AG38)</f>
        <v>56</v>
      </c>
    </row>
    <row r="39" spans="2:37" x14ac:dyDescent="0.2">
      <c r="B39" t="s">
        <v>30</v>
      </c>
      <c r="C39" t="s">
        <v>13</v>
      </c>
      <c r="F39" s="4" t="s">
        <v>25</v>
      </c>
      <c r="G39" s="2" t="s">
        <v>20</v>
      </c>
      <c r="H39" s="2" t="s">
        <v>20</v>
      </c>
      <c r="N39" s="2" t="s">
        <v>20</v>
      </c>
      <c r="O39" s="2" t="s">
        <v>20</v>
      </c>
      <c r="U39" s="2" t="s">
        <v>20</v>
      </c>
      <c r="V39" s="2" t="s">
        <v>20</v>
      </c>
      <c r="AB39" s="2" t="s">
        <v>20</v>
      </c>
      <c r="AC39" s="2" t="s">
        <v>20</v>
      </c>
      <c r="AH39" s="4" t="s">
        <v>25</v>
      </c>
      <c r="AI39" s="10">
        <f>SUM(D39:E39,I39:M39,P39:T39,W39:AA39,AD39:AG39)</f>
        <v>0</v>
      </c>
    </row>
    <row r="40" spans="2:37" x14ac:dyDescent="0.2">
      <c r="B40" s="6">
        <v>184</v>
      </c>
      <c r="C40" t="s">
        <v>11</v>
      </c>
      <c r="F40" s="4" t="s">
        <v>25</v>
      </c>
      <c r="G40" s="2" t="s">
        <v>20</v>
      </c>
      <c r="H40" s="2" t="s">
        <v>20</v>
      </c>
      <c r="N40" s="2" t="s">
        <v>20</v>
      </c>
      <c r="O40" s="2" t="s">
        <v>20</v>
      </c>
      <c r="U40" s="2" t="s">
        <v>20</v>
      </c>
      <c r="V40" s="2" t="s">
        <v>20</v>
      </c>
      <c r="W40">
        <v>8</v>
      </c>
      <c r="X40">
        <v>8</v>
      </c>
      <c r="Y40">
        <v>8</v>
      </c>
      <c r="Z40">
        <v>8</v>
      </c>
      <c r="AA40">
        <v>8</v>
      </c>
      <c r="AB40" s="2" t="s">
        <v>20</v>
      </c>
      <c r="AC40" s="2" t="s">
        <v>20</v>
      </c>
      <c r="AH40" s="4" t="s">
        <v>25</v>
      </c>
      <c r="AI40" s="10">
        <f t="shared" si="3"/>
        <v>40</v>
      </c>
    </row>
    <row r="41" spans="2:37" x14ac:dyDescent="0.2">
      <c r="C41" t="s">
        <v>35</v>
      </c>
      <c r="F41" s="4" t="s">
        <v>25</v>
      </c>
      <c r="G41" s="2" t="s">
        <v>20</v>
      </c>
      <c r="H41" s="2" t="s">
        <v>20</v>
      </c>
      <c r="N41" s="2" t="s">
        <v>20</v>
      </c>
      <c r="O41" s="2" t="s">
        <v>20</v>
      </c>
      <c r="U41" s="2" t="s">
        <v>20</v>
      </c>
      <c r="V41" s="2" t="s">
        <v>20</v>
      </c>
      <c r="AB41" s="2" t="s">
        <v>20</v>
      </c>
      <c r="AC41" s="2" t="s">
        <v>20</v>
      </c>
      <c r="AH41" s="4" t="s">
        <v>25</v>
      </c>
      <c r="AI41" s="10">
        <v>0</v>
      </c>
    </row>
    <row r="42" spans="2:37" x14ac:dyDescent="0.2">
      <c r="C42" t="s">
        <v>7</v>
      </c>
      <c r="F42" s="4" t="s">
        <v>25</v>
      </c>
      <c r="G42" s="2" t="s">
        <v>20</v>
      </c>
      <c r="H42" s="2" t="s">
        <v>20</v>
      </c>
      <c r="N42" s="2" t="s">
        <v>20</v>
      </c>
      <c r="O42" s="2" t="s">
        <v>20</v>
      </c>
      <c r="U42" s="2" t="s">
        <v>20</v>
      </c>
      <c r="V42" s="2" t="s">
        <v>20</v>
      </c>
      <c r="AB42" s="2" t="s">
        <v>20</v>
      </c>
      <c r="AC42" s="2" t="s">
        <v>20</v>
      </c>
      <c r="AH42" s="4" t="s">
        <v>25</v>
      </c>
      <c r="AI42" s="10">
        <f t="shared" si="3"/>
        <v>0</v>
      </c>
    </row>
    <row r="43" spans="2:37" x14ac:dyDescent="0.2">
      <c r="C43" t="s">
        <v>12</v>
      </c>
      <c r="F43" s="4" t="s">
        <v>25</v>
      </c>
      <c r="G43" s="2" t="s">
        <v>20</v>
      </c>
      <c r="H43" s="2" t="s">
        <v>20</v>
      </c>
      <c r="N43" s="2" t="s">
        <v>20</v>
      </c>
      <c r="O43" s="2" t="s">
        <v>20</v>
      </c>
      <c r="U43" s="2" t="s">
        <v>20</v>
      </c>
      <c r="V43" s="2" t="s">
        <v>20</v>
      </c>
      <c r="AB43" s="2" t="s">
        <v>20</v>
      </c>
      <c r="AC43" s="2" t="s">
        <v>20</v>
      </c>
      <c r="AH43" s="4" t="s">
        <v>25</v>
      </c>
      <c r="AI43" s="10">
        <f t="shared" si="3"/>
        <v>0</v>
      </c>
    </row>
    <row r="44" spans="2:37" x14ac:dyDescent="0.2">
      <c r="C44" t="s">
        <v>9</v>
      </c>
      <c r="F44" s="4" t="s">
        <v>25</v>
      </c>
      <c r="G44" s="2" t="s">
        <v>20</v>
      </c>
      <c r="H44" s="2" t="s">
        <v>20</v>
      </c>
      <c r="N44" s="2" t="s">
        <v>20</v>
      </c>
      <c r="O44" s="2" t="s">
        <v>20</v>
      </c>
      <c r="U44" s="2" t="s">
        <v>20</v>
      </c>
      <c r="V44" s="2" t="s">
        <v>20</v>
      </c>
      <c r="AB44" s="2" t="s">
        <v>20</v>
      </c>
      <c r="AC44" s="2" t="s">
        <v>20</v>
      </c>
      <c r="AH44" s="4" t="s">
        <v>25</v>
      </c>
      <c r="AI44" s="10">
        <f t="shared" si="3"/>
        <v>0</v>
      </c>
    </row>
    <row r="45" spans="2:37" s="1" customFormat="1" x14ac:dyDescent="0.2">
      <c r="AI45" s="11">
        <f>SUM(AI36:AI44)</f>
        <v>168</v>
      </c>
      <c r="AK45" s="1">
        <f>SUM(AI45,AJ36:AK36)</f>
        <v>184</v>
      </c>
    </row>
    <row r="46" spans="2:37" x14ac:dyDescent="0.2">
      <c r="B46" s="6" t="s">
        <v>18</v>
      </c>
      <c r="C46" t="s">
        <v>16</v>
      </c>
      <c r="D46" s="2" t="s">
        <v>20</v>
      </c>
      <c r="E46" s="2" t="s">
        <v>20</v>
      </c>
      <c r="K46" s="2" t="s">
        <v>20</v>
      </c>
      <c r="L46" s="2" t="s">
        <v>20</v>
      </c>
      <c r="R46" s="2" t="s">
        <v>20</v>
      </c>
      <c r="S46" s="2" t="s">
        <v>20</v>
      </c>
      <c r="Y46" s="2" t="s">
        <v>20</v>
      </c>
      <c r="Z46" s="2" t="s">
        <v>20</v>
      </c>
      <c r="AF46" s="2" t="s">
        <v>20</v>
      </c>
      <c r="AG46" s="2" t="s">
        <v>20</v>
      </c>
      <c r="AH46" s="9"/>
      <c r="AI46" s="10">
        <f>SUM(F46:J46,M46:Q46,T46:X46,AA46:AE46)</f>
        <v>0</v>
      </c>
    </row>
    <row r="47" spans="2:37" x14ac:dyDescent="0.2">
      <c r="C47" t="s">
        <v>10</v>
      </c>
      <c r="D47" s="2" t="s">
        <v>20</v>
      </c>
      <c r="E47" s="2" t="s">
        <v>20</v>
      </c>
      <c r="K47" s="2" t="s">
        <v>20</v>
      </c>
      <c r="L47" s="2" t="s">
        <v>20</v>
      </c>
      <c r="R47" s="2" t="s">
        <v>20</v>
      </c>
      <c r="S47" s="2" t="s">
        <v>20</v>
      </c>
      <c r="Y47" s="2" t="s">
        <v>20</v>
      </c>
      <c r="Z47" s="2" t="s">
        <v>20</v>
      </c>
      <c r="AA47">
        <v>8</v>
      </c>
      <c r="AB47">
        <v>8</v>
      </c>
      <c r="AC47">
        <v>8</v>
      </c>
      <c r="AD47">
        <v>8</v>
      </c>
      <c r="AE47">
        <v>8</v>
      </c>
      <c r="AF47" s="2" t="s">
        <v>20</v>
      </c>
      <c r="AG47" s="2" t="s">
        <v>20</v>
      </c>
      <c r="AH47" s="9"/>
      <c r="AI47" s="10">
        <f t="shared" ref="AI47:AI54" si="4">SUM(F47:J47,M47:Q47,T47:X47,AA47:AE47)</f>
        <v>40</v>
      </c>
    </row>
    <row r="48" spans="2:37" x14ac:dyDescent="0.2">
      <c r="B48" t="s">
        <v>31</v>
      </c>
      <c r="C48" t="s">
        <v>8</v>
      </c>
      <c r="D48" s="2" t="s">
        <v>20</v>
      </c>
      <c r="E48" s="2" t="s">
        <v>20</v>
      </c>
      <c r="F48">
        <v>8</v>
      </c>
      <c r="G48">
        <v>8</v>
      </c>
      <c r="H48">
        <v>8</v>
      </c>
      <c r="I48">
        <v>8</v>
      </c>
      <c r="J48">
        <v>8</v>
      </c>
      <c r="K48" s="2" t="s">
        <v>20</v>
      </c>
      <c r="L48" s="2" t="s">
        <v>20</v>
      </c>
      <c r="M48">
        <v>8</v>
      </c>
      <c r="N48">
        <v>8</v>
      </c>
      <c r="O48">
        <v>8</v>
      </c>
      <c r="P48">
        <v>8</v>
      </c>
      <c r="Q48">
        <v>8</v>
      </c>
      <c r="R48" s="2" t="s">
        <v>20</v>
      </c>
      <c r="S48" s="2" t="s">
        <v>20</v>
      </c>
      <c r="Y48" s="2" t="s">
        <v>20</v>
      </c>
      <c r="Z48" s="2" t="s">
        <v>20</v>
      </c>
      <c r="AF48" s="2" t="s">
        <v>20</v>
      </c>
      <c r="AG48" s="2" t="s">
        <v>20</v>
      </c>
      <c r="AH48" s="9"/>
      <c r="AI48" s="10">
        <f t="shared" si="4"/>
        <v>80</v>
      </c>
    </row>
    <row r="49" spans="2:37" x14ac:dyDescent="0.2">
      <c r="C49" t="s">
        <v>13</v>
      </c>
      <c r="D49" s="2" t="s">
        <v>20</v>
      </c>
      <c r="E49" s="2" t="s">
        <v>20</v>
      </c>
      <c r="K49" s="2" t="s">
        <v>20</v>
      </c>
      <c r="L49" s="2" t="s">
        <v>20</v>
      </c>
      <c r="R49" s="2" t="s">
        <v>20</v>
      </c>
      <c r="S49" s="2" t="s">
        <v>20</v>
      </c>
      <c r="Y49" s="2" t="s">
        <v>20</v>
      </c>
      <c r="Z49" s="2" t="s">
        <v>20</v>
      </c>
      <c r="AF49" s="2" t="s">
        <v>20</v>
      </c>
      <c r="AG49" s="2" t="s">
        <v>20</v>
      </c>
      <c r="AH49" s="9"/>
      <c r="AI49" s="10">
        <f t="shared" si="4"/>
        <v>0</v>
      </c>
    </row>
    <row r="50" spans="2:37" x14ac:dyDescent="0.2">
      <c r="B50" s="6">
        <v>160</v>
      </c>
      <c r="C50" t="s">
        <v>11</v>
      </c>
      <c r="D50" s="2" t="s">
        <v>20</v>
      </c>
      <c r="E50" s="2" t="s">
        <v>20</v>
      </c>
      <c r="K50" s="2" t="s">
        <v>20</v>
      </c>
      <c r="L50" s="2" t="s">
        <v>20</v>
      </c>
      <c r="R50" s="2" t="s">
        <v>20</v>
      </c>
      <c r="S50" s="2" t="s">
        <v>20</v>
      </c>
      <c r="T50">
        <v>8</v>
      </c>
      <c r="U50">
        <v>8</v>
      </c>
      <c r="V50">
        <v>8</v>
      </c>
      <c r="W50">
        <v>8</v>
      </c>
      <c r="X50">
        <v>8</v>
      </c>
      <c r="Y50" s="2" t="s">
        <v>20</v>
      </c>
      <c r="Z50" s="2" t="s">
        <v>20</v>
      </c>
      <c r="AF50" s="2" t="s">
        <v>20</v>
      </c>
      <c r="AG50" s="2" t="s">
        <v>20</v>
      </c>
      <c r="AH50" s="9"/>
      <c r="AI50" s="10">
        <f t="shared" si="4"/>
        <v>40</v>
      </c>
    </row>
    <row r="51" spans="2:37" x14ac:dyDescent="0.2">
      <c r="C51" t="s">
        <v>35</v>
      </c>
      <c r="D51" s="2" t="s">
        <v>20</v>
      </c>
      <c r="E51" s="2" t="s">
        <v>20</v>
      </c>
      <c r="K51" s="2" t="s">
        <v>20</v>
      </c>
      <c r="L51" s="2" t="s">
        <v>20</v>
      </c>
      <c r="R51" s="2" t="s">
        <v>20</v>
      </c>
      <c r="S51" s="2" t="s">
        <v>20</v>
      </c>
      <c r="Y51" s="2" t="s">
        <v>20</v>
      </c>
      <c r="Z51" s="2" t="s">
        <v>20</v>
      </c>
      <c r="AF51" s="2" t="s">
        <v>20</v>
      </c>
      <c r="AG51" s="2" t="s">
        <v>20</v>
      </c>
      <c r="AH51" s="9"/>
      <c r="AI51" s="10">
        <f t="shared" si="4"/>
        <v>0</v>
      </c>
    </row>
    <row r="52" spans="2:37" x14ac:dyDescent="0.2">
      <c r="C52" t="s">
        <v>7</v>
      </c>
      <c r="D52" s="2" t="s">
        <v>20</v>
      </c>
      <c r="E52" s="2" t="s">
        <v>20</v>
      </c>
      <c r="K52" s="2" t="s">
        <v>20</v>
      </c>
      <c r="L52" s="2" t="s">
        <v>20</v>
      </c>
      <c r="R52" s="2" t="s">
        <v>20</v>
      </c>
      <c r="S52" s="2" t="s">
        <v>20</v>
      </c>
      <c r="Y52" s="2" t="s">
        <v>20</v>
      </c>
      <c r="Z52" s="2" t="s">
        <v>20</v>
      </c>
      <c r="AF52" s="2" t="s">
        <v>20</v>
      </c>
      <c r="AG52" s="2" t="s">
        <v>20</v>
      </c>
      <c r="AH52" s="9"/>
      <c r="AI52" s="10">
        <f t="shared" si="4"/>
        <v>0</v>
      </c>
    </row>
    <row r="53" spans="2:37" x14ac:dyDescent="0.2">
      <c r="C53" t="s">
        <v>12</v>
      </c>
      <c r="D53" s="2" t="s">
        <v>20</v>
      </c>
      <c r="E53" s="2" t="s">
        <v>20</v>
      </c>
      <c r="K53" s="2" t="s">
        <v>20</v>
      </c>
      <c r="L53" s="2" t="s">
        <v>20</v>
      </c>
      <c r="R53" s="2" t="s">
        <v>20</v>
      </c>
      <c r="S53" s="2" t="s">
        <v>20</v>
      </c>
      <c r="Y53" s="2" t="s">
        <v>20</v>
      </c>
      <c r="Z53" s="2" t="s">
        <v>20</v>
      </c>
      <c r="AF53" s="2" t="s">
        <v>20</v>
      </c>
      <c r="AG53" s="2" t="s">
        <v>20</v>
      </c>
      <c r="AH53" s="9"/>
      <c r="AI53" s="10">
        <f t="shared" si="4"/>
        <v>0</v>
      </c>
    </row>
    <row r="54" spans="2:37" x14ac:dyDescent="0.2">
      <c r="C54" t="s">
        <v>9</v>
      </c>
      <c r="D54" s="2" t="s">
        <v>20</v>
      </c>
      <c r="E54" s="2" t="s">
        <v>20</v>
      </c>
      <c r="K54" s="2" t="s">
        <v>20</v>
      </c>
      <c r="L54" s="2" t="s">
        <v>20</v>
      </c>
      <c r="R54" s="2" t="s">
        <v>20</v>
      </c>
      <c r="S54" s="2" t="s">
        <v>20</v>
      </c>
      <c r="Y54" s="2" t="s">
        <v>20</v>
      </c>
      <c r="Z54" s="2" t="s">
        <v>20</v>
      </c>
      <c r="AF54" s="2" t="s">
        <v>20</v>
      </c>
      <c r="AG54" s="2" t="s">
        <v>20</v>
      </c>
      <c r="AH54" s="9"/>
      <c r="AI54" s="10">
        <f t="shared" si="4"/>
        <v>0</v>
      </c>
    </row>
    <row r="55" spans="2:37" s="1" customFormat="1" x14ac:dyDescent="0.2">
      <c r="AI55" s="11">
        <f>SUM(AI46:AI54)</f>
        <v>160</v>
      </c>
      <c r="AK55" s="1">
        <f>SUM(AI55,AJ46:AK46)</f>
        <v>160</v>
      </c>
    </row>
    <row r="56" spans="2:37" x14ac:dyDescent="0.2">
      <c r="B56" s="6" t="s">
        <v>19</v>
      </c>
      <c r="C56" t="s">
        <v>16</v>
      </c>
      <c r="I56" s="2" t="s">
        <v>20</v>
      </c>
      <c r="J56" s="2" t="s">
        <v>20</v>
      </c>
      <c r="P56" s="2" t="s">
        <v>20</v>
      </c>
      <c r="Q56" s="2" t="s">
        <v>20</v>
      </c>
      <c r="W56" s="2" t="s">
        <v>20</v>
      </c>
      <c r="X56" s="2" t="s">
        <v>20</v>
      </c>
      <c r="Y56" s="2" t="s">
        <v>33</v>
      </c>
      <c r="Z56" s="2" t="s">
        <v>33</v>
      </c>
      <c r="AA56" s="2" t="s">
        <v>33</v>
      </c>
      <c r="AB56" s="4" t="s">
        <v>25</v>
      </c>
      <c r="AC56" s="4" t="s">
        <v>25</v>
      </c>
      <c r="AD56" s="2" t="s">
        <v>20</v>
      </c>
      <c r="AE56" s="2" t="s">
        <v>20</v>
      </c>
      <c r="AF56" s="2" t="s">
        <v>33</v>
      </c>
      <c r="AG56" s="2" t="s">
        <v>33</v>
      </c>
      <c r="AH56" s="2" t="s">
        <v>33</v>
      </c>
      <c r="AI56" s="10">
        <f>SUM(D56:H56,K56:O56,R56:V56)</f>
        <v>0</v>
      </c>
      <c r="AJ56">
        <v>0</v>
      </c>
      <c r="AK56">
        <v>0</v>
      </c>
    </row>
    <row r="57" spans="2:37" x14ac:dyDescent="0.2">
      <c r="C57" t="s">
        <v>10</v>
      </c>
      <c r="D57">
        <v>8</v>
      </c>
      <c r="E57">
        <v>8</v>
      </c>
      <c r="F57">
        <v>8</v>
      </c>
      <c r="G57">
        <v>8</v>
      </c>
      <c r="H57">
        <v>8</v>
      </c>
      <c r="I57" s="2" t="s">
        <v>20</v>
      </c>
      <c r="J57" s="2" t="s">
        <v>20</v>
      </c>
      <c r="P57" s="2" t="s">
        <v>20</v>
      </c>
      <c r="Q57" s="2" t="s">
        <v>20</v>
      </c>
      <c r="W57" s="2" t="s">
        <v>20</v>
      </c>
      <c r="X57" s="2" t="s">
        <v>20</v>
      </c>
      <c r="Y57" s="2" t="s">
        <v>33</v>
      </c>
      <c r="Z57" s="2" t="s">
        <v>33</v>
      </c>
      <c r="AA57" s="2" t="s">
        <v>33</v>
      </c>
      <c r="AB57" s="4" t="s">
        <v>25</v>
      </c>
      <c r="AC57" s="4" t="s">
        <v>25</v>
      </c>
      <c r="AD57" s="2" t="s">
        <v>20</v>
      </c>
      <c r="AE57" s="2" t="s">
        <v>20</v>
      </c>
      <c r="AF57" s="2" t="s">
        <v>33</v>
      </c>
      <c r="AG57" s="2" t="s">
        <v>33</v>
      </c>
      <c r="AH57" s="2" t="s">
        <v>33</v>
      </c>
      <c r="AI57" s="10">
        <f t="shared" ref="AI57:AI64" si="5">SUM(D57:H57,K57:O57,R57:V57)</f>
        <v>40</v>
      </c>
    </row>
    <row r="58" spans="2:37" x14ac:dyDescent="0.2">
      <c r="B58" t="s">
        <v>38</v>
      </c>
      <c r="C58" t="s">
        <v>8</v>
      </c>
      <c r="I58" s="2" t="s">
        <v>20</v>
      </c>
      <c r="J58" s="2" t="s">
        <v>20</v>
      </c>
      <c r="K58">
        <v>8</v>
      </c>
      <c r="L58">
        <v>8</v>
      </c>
      <c r="M58">
        <v>8</v>
      </c>
      <c r="N58">
        <v>8</v>
      </c>
      <c r="O58">
        <v>8</v>
      </c>
      <c r="P58" s="2" t="s">
        <v>20</v>
      </c>
      <c r="Q58" s="2" t="s">
        <v>20</v>
      </c>
      <c r="W58" s="2" t="s">
        <v>20</v>
      </c>
      <c r="X58" s="2" t="s">
        <v>20</v>
      </c>
      <c r="Y58" s="2" t="s">
        <v>33</v>
      </c>
      <c r="Z58" s="2" t="s">
        <v>33</v>
      </c>
      <c r="AA58" s="2" t="s">
        <v>33</v>
      </c>
      <c r="AB58" s="4" t="s">
        <v>25</v>
      </c>
      <c r="AC58" s="4" t="s">
        <v>25</v>
      </c>
      <c r="AD58" s="2" t="s">
        <v>20</v>
      </c>
      <c r="AE58" s="2" t="s">
        <v>20</v>
      </c>
      <c r="AF58" s="2" t="s">
        <v>33</v>
      </c>
      <c r="AG58" s="2" t="s">
        <v>33</v>
      </c>
      <c r="AH58" s="2" t="s">
        <v>33</v>
      </c>
      <c r="AI58" s="10">
        <f t="shared" si="5"/>
        <v>40</v>
      </c>
    </row>
    <row r="59" spans="2:37" x14ac:dyDescent="0.2">
      <c r="C59" t="s">
        <v>13</v>
      </c>
      <c r="I59" s="2" t="s">
        <v>20</v>
      </c>
      <c r="J59" s="2" t="s">
        <v>20</v>
      </c>
      <c r="P59" s="2" t="s">
        <v>20</v>
      </c>
      <c r="Q59" s="2" t="s">
        <v>20</v>
      </c>
      <c r="W59" s="2" t="s">
        <v>20</v>
      </c>
      <c r="X59" s="2" t="s">
        <v>20</v>
      </c>
      <c r="Y59" s="2" t="s">
        <v>33</v>
      </c>
      <c r="Z59" s="2" t="s">
        <v>33</v>
      </c>
      <c r="AA59" s="2" t="s">
        <v>33</v>
      </c>
      <c r="AB59" s="4" t="s">
        <v>25</v>
      </c>
      <c r="AC59" s="4" t="s">
        <v>25</v>
      </c>
      <c r="AD59" s="2" t="s">
        <v>20</v>
      </c>
      <c r="AE59" s="2" t="s">
        <v>20</v>
      </c>
      <c r="AF59" s="2" t="s">
        <v>33</v>
      </c>
      <c r="AG59" s="2" t="s">
        <v>33</v>
      </c>
      <c r="AH59" s="2" t="s">
        <v>33</v>
      </c>
      <c r="AI59" s="10">
        <f t="shared" si="5"/>
        <v>0</v>
      </c>
    </row>
    <row r="60" spans="2:37" x14ac:dyDescent="0.2">
      <c r="B60" t="s">
        <v>30</v>
      </c>
      <c r="C60" t="s">
        <v>11</v>
      </c>
      <c r="I60" s="2" t="s">
        <v>20</v>
      </c>
      <c r="J60" s="2" t="s">
        <v>20</v>
      </c>
      <c r="P60" s="2" t="s">
        <v>20</v>
      </c>
      <c r="Q60" s="2" t="s">
        <v>20</v>
      </c>
      <c r="R60">
        <v>8</v>
      </c>
      <c r="S60">
        <v>8</v>
      </c>
      <c r="T60">
        <v>8</v>
      </c>
      <c r="U60">
        <v>8</v>
      </c>
      <c r="V60">
        <v>8</v>
      </c>
      <c r="W60" s="2" t="s">
        <v>20</v>
      </c>
      <c r="X60" s="2" t="s">
        <v>20</v>
      </c>
      <c r="Y60" s="2" t="s">
        <v>33</v>
      </c>
      <c r="Z60" s="2" t="s">
        <v>33</v>
      </c>
      <c r="AA60" s="2" t="s">
        <v>33</v>
      </c>
      <c r="AB60" s="4" t="s">
        <v>25</v>
      </c>
      <c r="AC60" s="4" t="s">
        <v>25</v>
      </c>
      <c r="AD60" s="2" t="s">
        <v>20</v>
      </c>
      <c r="AE60" s="2" t="s">
        <v>20</v>
      </c>
      <c r="AF60" s="2" t="s">
        <v>33</v>
      </c>
      <c r="AG60" s="2" t="s">
        <v>33</v>
      </c>
      <c r="AH60" s="2" t="s">
        <v>33</v>
      </c>
      <c r="AI60" s="10">
        <f t="shared" si="5"/>
        <v>40</v>
      </c>
    </row>
    <row r="61" spans="2:37" x14ac:dyDescent="0.2">
      <c r="B61" t="s">
        <v>39</v>
      </c>
      <c r="C61" t="s">
        <v>35</v>
      </c>
      <c r="I61" s="2" t="s">
        <v>20</v>
      </c>
      <c r="J61" s="2" t="s">
        <v>20</v>
      </c>
      <c r="P61" s="2" t="s">
        <v>20</v>
      </c>
      <c r="Q61" s="2" t="s">
        <v>20</v>
      </c>
      <c r="W61" s="2" t="s">
        <v>20</v>
      </c>
      <c r="X61" s="2" t="s">
        <v>20</v>
      </c>
      <c r="Y61" s="2" t="s">
        <v>33</v>
      </c>
      <c r="Z61" s="2" t="s">
        <v>33</v>
      </c>
      <c r="AA61" s="2" t="s">
        <v>33</v>
      </c>
      <c r="AB61" s="4" t="s">
        <v>25</v>
      </c>
      <c r="AC61" s="4" t="s">
        <v>25</v>
      </c>
      <c r="AD61" s="2" t="s">
        <v>20</v>
      </c>
      <c r="AE61" s="2" t="s">
        <v>20</v>
      </c>
      <c r="AF61" s="2" t="s">
        <v>33</v>
      </c>
      <c r="AG61" s="2" t="s">
        <v>33</v>
      </c>
      <c r="AH61" s="2" t="s">
        <v>33</v>
      </c>
      <c r="AI61" s="10">
        <f t="shared" si="5"/>
        <v>0</v>
      </c>
    </row>
    <row r="62" spans="2:37" x14ac:dyDescent="0.2">
      <c r="C62" t="s">
        <v>7</v>
      </c>
      <c r="I62" s="2" t="s">
        <v>20</v>
      </c>
      <c r="J62" s="2" t="s">
        <v>20</v>
      </c>
      <c r="P62" s="2" t="s">
        <v>20</v>
      </c>
      <c r="Q62" s="2" t="s">
        <v>20</v>
      </c>
      <c r="W62" s="2" t="s">
        <v>20</v>
      </c>
      <c r="X62" s="2" t="s">
        <v>20</v>
      </c>
      <c r="Y62" s="2" t="s">
        <v>33</v>
      </c>
      <c r="Z62" s="2" t="s">
        <v>33</v>
      </c>
      <c r="AA62" s="2" t="s">
        <v>33</v>
      </c>
      <c r="AB62" s="4" t="s">
        <v>25</v>
      </c>
      <c r="AC62" s="4" t="s">
        <v>25</v>
      </c>
      <c r="AD62" s="2" t="s">
        <v>20</v>
      </c>
      <c r="AE62" s="2" t="s">
        <v>20</v>
      </c>
      <c r="AF62" s="2" t="s">
        <v>33</v>
      </c>
      <c r="AG62" s="2" t="s">
        <v>33</v>
      </c>
      <c r="AH62" s="2" t="s">
        <v>33</v>
      </c>
      <c r="AI62" s="10">
        <f t="shared" si="5"/>
        <v>0</v>
      </c>
    </row>
    <row r="63" spans="2:37" x14ac:dyDescent="0.2">
      <c r="B63" s="6">
        <v>120</v>
      </c>
      <c r="C63" t="s">
        <v>12</v>
      </c>
      <c r="I63" s="2" t="s">
        <v>20</v>
      </c>
      <c r="J63" s="2" t="s">
        <v>20</v>
      </c>
      <c r="P63" s="2" t="s">
        <v>20</v>
      </c>
      <c r="Q63" s="2" t="s">
        <v>20</v>
      </c>
      <c r="W63" s="2" t="s">
        <v>20</v>
      </c>
      <c r="X63" s="2" t="s">
        <v>20</v>
      </c>
      <c r="Y63" s="2" t="s">
        <v>33</v>
      </c>
      <c r="Z63" s="2" t="s">
        <v>33</v>
      </c>
      <c r="AA63" s="2" t="s">
        <v>33</v>
      </c>
      <c r="AB63" s="4" t="s">
        <v>25</v>
      </c>
      <c r="AC63" s="4" t="s">
        <v>25</v>
      </c>
      <c r="AD63" s="2" t="s">
        <v>20</v>
      </c>
      <c r="AE63" s="2" t="s">
        <v>20</v>
      </c>
      <c r="AF63" s="2" t="s">
        <v>33</v>
      </c>
      <c r="AG63" s="2" t="s">
        <v>33</v>
      </c>
      <c r="AH63" s="2" t="s">
        <v>33</v>
      </c>
      <c r="AI63" s="10">
        <f t="shared" si="5"/>
        <v>0</v>
      </c>
    </row>
    <row r="64" spans="2:37" x14ac:dyDescent="0.2">
      <c r="C64" t="s">
        <v>9</v>
      </c>
      <c r="I64" s="2" t="s">
        <v>20</v>
      </c>
      <c r="J64" s="2" t="s">
        <v>20</v>
      </c>
      <c r="P64" s="2" t="s">
        <v>20</v>
      </c>
      <c r="Q64" s="2" t="s">
        <v>20</v>
      </c>
      <c r="W64" s="2" t="s">
        <v>20</v>
      </c>
      <c r="X64" s="2" t="s">
        <v>20</v>
      </c>
      <c r="Y64" s="2" t="s">
        <v>33</v>
      </c>
      <c r="Z64" s="2" t="s">
        <v>33</v>
      </c>
      <c r="AA64" s="2" t="s">
        <v>33</v>
      </c>
      <c r="AB64" s="4" t="s">
        <v>25</v>
      </c>
      <c r="AC64" s="4" t="s">
        <v>25</v>
      </c>
      <c r="AD64" s="2" t="s">
        <v>20</v>
      </c>
      <c r="AE64" s="2" t="s">
        <v>20</v>
      </c>
      <c r="AF64" s="2" t="s">
        <v>33</v>
      </c>
      <c r="AG64" s="2" t="s">
        <v>33</v>
      </c>
      <c r="AH64" s="2" t="s">
        <v>33</v>
      </c>
      <c r="AI64" s="10">
        <f t="shared" si="5"/>
        <v>0</v>
      </c>
    </row>
    <row r="65" spans="35:37" s="1" customFormat="1" x14ac:dyDescent="0.2">
      <c r="AI65" s="11">
        <f>SUM(AI56:AI64)</f>
        <v>120</v>
      </c>
      <c r="AK65" s="1">
        <f>SUM(AI65,AJ56:AK56)</f>
        <v>120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13863-E60C-42AE-B69B-6BEE83B33E5E}">
  <dimension ref="A1:AK65"/>
  <sheetViews>
    <sheetView topLeftCell="A3" zoomScale="150" zoomScaleNormal="150" workbookViewId="0">
      <selection activeCell="G49" sqref="G49"/>
    </sheetView>
  </sheetViews>
  <sheetFormatPr baseColWidth="10" defaultRowHeight="15" x14ac:dyDescent="0.2"/>
  <cols>
    <col min="1" max="2" width="14.83203125" customWidth="1"/>
    <col min="3" max="3" width="18.1640625" customWidth="1"/>
    <col min="4" max="34" width="6.6640625" customWidth="1"/>
    <col min="35" max="35" width="15.33203125" style="10" customWidth="1"/>
    <col min="36" max="36" width="15.33203125" customWidth="1"/>
  </cols>
  <sheetData>
    <row r="1" spans="1:37" x14ac:dyDescent="0.2">
      <c r="A1" t="s">
        <v>3</v>
      </c>
      <c r="B1" s="8">
        <v>2025</v>
      </c>
      <c r="F1" t="s">
        <v>21</v>
      </c>
      <c r="AA1" s="12" t="s">
        <v>63</v>
      </c>
    </row>
    <row r="2" spans="1:37" x14ac:dyDescent="0.2">
      <c r="A2" t="s">
        <v>2</v>
      </c>
      <c r="B2" s="6" t="s">
        <v>17</v>
      </c>
      <c r="C2" s="7" t="s">
        <v>47</v>
      </c>
      <c r="F2" t="s">
        <v>22</v>
      </c>
      <c r="AA2" s="12" t="s">
        <v>64</v>
      </c>
    </row>
    <row r="3" spans="1:37" x14ac:dyDescent="0.2">
      <c r="F3" t="s">
        <v>23</v>
      </c>
    </row>
    <row r="4" spans="1:37" x14ac:dyDescent="0.2">
      <c r="F4" t="s">
        <v>24</v>
      </c>
    </row>
    <row r="5" spans="1:37" x14ac:dyDescent="0.2">
      <c r="F5" t="s">
        <v>26</v>
      </c>
    </row>
    <row r="7" spans="1:37" x14ac:dyDescent="0.2">
      <c r="D7" s="1" t="s">
        <v>4</v>
      </c>
    </row>
    <row r="8" spans="1:37" s="3" customFormat="1" x14ac:dyDescent="0.2">
      <c r="A8" s="3" t="s">
        <v>0</v>
      </c>
      <c r="B8" s="3" t="s">
        <v>0</v>
      </c>
      <c r="C8" s="3" t="s">
        <v>1</v>
      </c>
      <c r="D8" s="3">
        <v>1</v>
      </c>
      <c r="E8" s="3">
        <v>2</v>
      </c>
      <c r="F8" s="3">
        <v>3</v>
      </c>
      <c r="G8" s="3">
        <v>4</v>
      </c>
      <c r="H8" s="3">
        <v>5</v>
      </c>
      <c r="I8" s="3">
        <v>6</v>
      </c>
      <c r="J8" s="3">
        <v>7</v>
      </c>
      <c r="K8" s="3">
        <v>8</v>
      </c>
      <c r="L8" s="3">
        <v>9</v>
      </c>
      <c r="M8" s="3">
        <v>10</v>
      </c>
      <c r="N8" s="3">
        <v>11</v>
      </c>
      <c r="O8" s="3">
        <v>12</v>
      </c>
      <c r="P8" s="3">
        <v>13</v>
      </c>
      <c r="Q8" s="3">
        <v>14</v>
      </c>
      <c r="R8" s="3">
        <v>15</v>
      </c>
      <c r="S8" s="3">
        <v>16</v>
      </c>
      <c r="T8" s="3">
        <v>17</v>
      </c>
      <c r="U8" s="3">
        <v>18</v>
      </c>
      <c r="V8" s="3">
        <v>19</v>
      </c>
      <c r="W8" s="3">
        <v>20</v>
      </c>
      <c r="X8" s="3">
        <v>21</v>
      </c>
      <c r="Y8" s="3">
        <v>22</v>
      </c>
      <c r="Z8" s="3">
        <v>23</v>
      </c>
      <c r="AA8" s="3">
        <v>24</v>
      </c>
      <c r="AB8" s="3">
        <v>25</v>
      </c>
      <c r="AC8" s="3">
        <v>26</v>
      </c>
      <c r="AD8" s="3">
        <v>27</v>
      </c>
      <c r="AE8" s="3">
        <v>28</v>
      </c>
      <c r="AF8" s="3">
        <v>29</v>
      </c>
      <c r="AG8" s="3">
        <v>30</v>
      </c>
      <c r="AH8" s="3">
        <v>31</v>
      </c>
      <c r="AI8" s="11" t="s">
        <v>34</v>
      </c>
      <c r="AJ8" s="3" t="s">
        <v>36</v>
      </c>
      <c r="AK8" s="3" t="s">
        <v>37</v>
      </c>
    </row>
    <row r="9" spans="1:37" x14ac:dyDescent="0.2">
      <c r="B9" s="6" t="s">
        <v>41</v>
      </c>
      <c r="C9" t="s">
        <v>6</v>
      </c>
      <c r="D9" s="2"/>
      <c r="E9" s="2"/>
      <c r="F9" s="2"/>
      <c r="G9" s="2"/>
      <c r="H9" s="2" t="s">
        <v>20</v>
      </c>
      <c r="I9" s="2" t="s">
        <v>20</v>
      </c>
      <c r="J9" s="2"/>
      <c r="K9" s="2"/>
      <c r="L9" s="2"/>
      <c r="M9" s="2"/>
      <c r="N9" s="2"/>
      <c r="O9" s="2" t="s">
        <v>20</v>
      </c>
      <c r="P9" s="2" t="s">
        <v>20</v>
      </c>
      <c r="Q9" s="2"/>
      <c r="R9" s="2"/>
      <c r="S9" s="2"/>
      <c r="T9" s="2"/>
      <c r="U9" s="2"/>
      <c r="V9" s="2" t="s">
        <v>20</v>
      </c>
      <c r="W9" s="2" t="s">
        <v>20</v>
      </c>
      <c r="X9" s="2"/>
      <c r="Y9" s="2"/>
      <c r="Z9" s="2"/>
      <c r="AA9" s="2"/>
      <c r="AB9" s="2"/>
      <c r="AC9" s="2" t="s">
        <v>20</v>
      </c>
      <c r="AD9" s="2" t="s">
        <v>20</v>
      </c>
      <c r="AE9" s="2"/>
      <c r="AF9" s="2"/>
      <c r="AG9" s="2"/>
      <c r="AH9" s="2"/>
      <c r="AI9" s="10">
        <f>SUM(D9:G9,J9:N9,Q9:U9,X9:AB9,AE9:AH9)</f>
        <v>0</v>
      </c>
      <c r="AJ9" s="2">
        <v>0</v>
      </c>
      <c r="AK9" s="2">
        <v>0</v>
      </c>
    </row>
    <row r="10" spans="1:37" x14ac:dyDescent="0.2">
      <c r="C10" t="s">
        <v>10</v>
      </c>
      <c r="D10" s="2"/>
      <c r="E10" s="2"/>
      <c r="F10" s="2"/>
      <c r="G10" s="2"/>
      <c r="H10" s="2" t="s">
        <v>20</v>
      </c>
      <c r="I10" s="2" t="s">
        <v>20</v>
      </c>
      <c r="J10" s="2"/>
      <c r="K10" s="2"/>
      <c r="L10" s="2"/>
      <c r="M10" s="2"/>
      <c r="N10" s="2"/>
      <c r="O10" s="2" t="s">
        <v>20</v>
      </c>
      <c r="P10" s="2" t="s">
        <v>20</v>
      </c>
      <c r="Q10" s="2"/>
      <c r="R10" s="2"/>
      <c r="S10" s="2"/>
      <c r="T10" s="2"/>
      <c r="U10" s="2"/>
      <c r="V10" s="2" t="s">
        <v>20</v>
      </c>
      <c r="W10" s="2" t="s">
        <v>20</v>
      </c>
      <c r="X10" s="2"/>
      <c r="Y10" s="2"/>
      <c r="Z10" s="2"/>
      <c r="AA10" s="2"/>
      <c r="AB10" s="2"/>
      <c r="AC10" s="2" t="s">
        <v>20</v>
      </c>
      <c r="AD10" s="2" t="s">
        <v>20</v>
      </c>
      <c r="AE10" s="2"/>
      <c r="AF10" s="2"/>
      <c r="AG10" s="2"/>
      <c r="AH10" s="2"/>
      <c r="AI10" s="10">
        <f t="shared" ref="AI10:AI16" si="0">SUM(D10:G10,J10:N10,Q10:U10,X10:AB10,AE10:AH10)</f>
        <v>0</v>
      </c>
      <c r="AJ10" s="2"/>
      <c r="AK10" s="2"/>
    </row>
    <row r="11" spans="1:37" x14ac:dyDescent="0.2">
      <c r="B11" t="s">
        <v>42</v>
      </c>
      <c r="C11" t="s">
        <v>8</v>
      </c>
      <c r="D11" s="2"/>
      <c r="E11" s="2"/>
      <c r="F11" s="2"/>
      <c r="G11" s="2"/>
      <c r="H11" s="2" t="s">
        <v>20</v>
      </c>
      <c r="I11" s="2" t="s">
        <v>20</v>
      </c>
      <c r="J11" s="2"/>
      <c r="K11" s="2"/>
      <c r="L11" s="2"/>
      <c r="M11" s="2"/>
      <c r="N11" s="2"/>
      <c r="O11" s="2" t="s">
        <v>20</v>
      </c>
      <c r="P11" s="2" t="s">
        <v>20</v>
      </c>
      <c r="Q11" s="2"/>
      <c r="R11" s="2"/>
      <c r="S11" s="2"/>
      <c r="T11" s="2"/>
      <c r="U11" s="2"/>
      <c r="V11" s="2" t="s">
        <v>20</v>
      </c>
      <c r="W11" s="2" t="s">
        <v>20</v>
      </c>
      <c r="X11" s="2"/>
      <c r="Y11" s="2"/>
      <c r="Z11" s="2"/>
      <c r="AA11" s="2"/>
      <c r="AB11" s="2"/>
      <c r="AC11" s="2" t="s">
        <v>20</v>
      </c>
      <c r="AD11" s="2" t="s">
        <v>20</v>
      </c>
      <c r="AE11" s="2"/>
      <c r="AF11" s="2"/>
      <c r="AG11" s="2"/>
      <c r="AH11" s="2"/>
      <c r="AI11" s="10">
        <f t="shared" si="0"/>
        <v>0</v>
      </c>
      <c r="AJ11" s="2"/>
      <c r="AK11" s="2"/>
    </row>
    <row r="12" spans="1:37" x14ac:dyDescent="0.2">
      <c r="C12" t="s">
        <v>13</v>
      </c>
      <c r="D12" s="2"/>
      <c r="E12" s="2"/>
      <c r="F12" s="2"/>
      <c r="G12" s="2"/>
      <c r="H12" s="2" t="s">
        <v>20</v>
      </c>
      <c r="I12" s="2" t="s">
        <v>20</v>
      </c>
      <c r="J12" s="2"/>
      <c r="K12" s="2"/>
      <c r="L12" s="2"/>
      <c r="M12" s="2"/>
      <c r="N12" s="2"/>
      <c r="O12" s="2" t="s">
        <v>20</v>
      </c>
      <c r="P12" s="2" t="s">
        <v>20</v>
      </c>
      <c r="Q12" s="2"/>
      <c r="R12" s="2"/>
      <c r="S12" s="2"/>
      <c r="T12" s="2"/>
      <c r="U12" s="2"/>
      <c r="V12" s="2" t="s">
        <v>20</v>
      </c>
      <c r="W12" s="2" t="s">
        <v>20</v>
      </c>
      <c r="X12" s="2"/>
      <c r="Y12" s="2"/>
      <c r="Z12" s="2"/>
      <c r="AA12" s="2"/>
      <c r="AB12" s="2"/>
      <c r="AC12" s="2" t="s">
        <v>20</v>
      </c>
      <c r="AD12" s="2" t="s">
        <v>20</v>
      </c>
      <c r="AE12" s="2"/>
      <c r="AF12" s="2"/>
      <c r="AG12" s="2"/>
      <c r="AH12" s="2"/>
      <c r="AI12" s="10">
        <f t="shared" si="0"/>
        <v>0</v>
      </c>
      <c r="AJ12" s="2"/>
      <c r="AK12" s="2"/>
    </row>
    <row r="13" spans="1:37" x14ac:dyDescent="0.2">
      <c r="B13" s="6">
        <v>184</v>
      </c>
      <c r="C13" t="s">
        <v>11</v>
      </c>
      <c r="D13" s="2"/>
      <c r="E13" s="2"/>
      <c r="F13" s="2"/>
      <c r="G13" s="2"/>
      <c r="H13" s="2" t="s">
        <v>20</v>
      </c>
      <c r="I13" s="2" t="s">
        <v>20</v>
      </c>
      <c r="J13" s="2"/>
      <c r="K13" s="2"/>
      <c r="L13" s="2"/>
      <c r="M13" s="2"/>
      <c r="N13" s="2"/>
      <c r="O13" s="2" t="s">
        <v>20</v>
      </c>
      <c r="P13" s="2" t="s">
        <v>20</v>
      </c>
      <c r="Q13" s="2"/>
      <c r="R13" s="2"/>
      <c r="S13" s="2"/>
      <c r="T13" s="2"/>
      <c r="U13" s="2"/>
      <c r="V13" s="2" t="s">
        <v>20</v>
      </c>
      <c r="W13" s="2" t="s">
        <v>20</v>
      </c>
      <c r="X13" s="2"/>
      <c r="Y13" s="2"/>
      <c r="Z13" s="2"/>
      <c r="AA13" s="2"/>
      <c r="AB13" s="2"/>
      <c r="AC13" s="2" t="s">
        <v>20</v>
      </c>
      <c r="AD13" s="2" t="s">
        <v>20</v>
      </c>
      <c r="AE13" s="2"/>
      <c r="AF13" s="2"/>
      <c r="AG13" s="2"/>
      <c r="AH13" s="2"/>
      <c r="AI13" s="10">
        <f t="shared" si="0"/>
        <v>0</v>
      </c>
      <c r="AJ13" s="2"/>
      <c r="AK13" s="2"/>
    </row>
    <row r="14" spans="1:37" x14ac:dyDescent="0.2">
      <c r="C14" t="s">
        <v>7</v>
      </c>
      <c r="D14" s="2"/>
      <c r="E14" s="2"/>
      <c r="F14" s="2"/>
      <c r="G14" s="2"/>
      <c r="H14" s="2" t="s">
        <v>20</v>
      </c>
      <c r="I14" s="2" t="s">
        <v>20</v>
      </c>
      <c r="J14" s="2"/>
      <c r="K14" s="2"/>
      <c r="L14" s="2"/>
      <c r="M14" s="2"/>
      <c r="N14" s="2"/>
      <c r="O14" s="2" t="s">
        <v>20</v>
      </c>
      <c r="P14" s="2" t="s">
        <v>20</v>
      </c>
      <c r="Q14" s="2"/>
      <c r="R14" s="2"/>
      <c r="S14" s="2"/>
      <c r="T14" s="2"/>
      <c r="U14" s="2"/>
      <c r="V14" s="2" t="s">
        <v>20</v>
      </c>
      <c r="W14" s="2" t="s">
        <v>20</v>
      </c>
      <c r="X14" s="2"/>
      <c r="Y14" s="2"/>
      <c r="Z14" s="2"/>
      <c r="AA14" s="2"/>
      <c r="AB14" s="2"/>
      <c r="AC14" s="2" t="s">
        <v>20</v>
      </c>
      <c r="AD14" s="2" t="s">
        <v>20</v>
      </c>
      <c r="AE14" s="2"/>
      <c r="AF14" s="2"/>
      <c r="AG14" s="2"/>
      <c r="AH14" s="2"/>
      <c r="AI14" s="10">
        <f t="shared" si="0"/>
        <v>0</v>
      </c>
      <c r="AJ14" s="2"/>
      <c r="AK14" s="2"/>
    </row>
    <row r="15" spans="1:37" x14ac:dyDescent="0.2">
      <c r="C15" t="s">
        <v>12</v>
      </c>
      <c r="D15" s="2"/>
      <c r="E15" s="2"/>
      <c r="F15" s="2"/>
      <c r="G15" s="2"/>
      <c r="H15" s="2" t="s">
        <v>20</v>
      </c>
      <c r="I15" s="2" t="s">
        <v>20</v>
      </c>
      <c r="J15" s="2"/>
      <c r="K15" s="2"/>
      <c r="L15" s="2"/>
      <c r="M15" s="2"/>
      <c r="N15" s="2"/>
      <c r="O15" s="2" t="s">
        <v>20</v>
      </c>
      <c r="P15" s="2" t="s">
        <v>20</v>
      </c>
      <c r="Q15" s="2"/>
      <c r="R15" s="2"/>
      <c r="S15" s="2"/>
      <c r="T15" s="2"/>
      <c r="U15" s="2"/>
      <c r="V15" s="2" t="s">
        <v>20</v>
      </c>
      <c r="W15" s="2" t="s">
        <v>20</v>
      </c>
      <c r="X15" s="2"/>
      <c r="Y15" s="2"/>
      <c r="Z15" s="2"/>
      <c r="AA15" s="2"/>
      <c r="AB15" s="2"/>
      <c r="AC15" s="2" t="s">
        <v>20</v>
      </c>
      <c r="AD15" s="2" t="s">
        <v>20</v>
      </c>
      <c r="AE15" s="2"/>
      <c r="AF15" s="2"/>
      <c r="AG15" s="2"/>
      <c r="AH15" s="2"/>
      <c r="AI15" s="10">
        <f t="shared" si="0"/>
        <v>0</v>
      </c>
      <c r="AJ15" s="2"/>
      <c r="AK15" s="2"/>
    </row>
    <row r="16" spans="1:37" x14ac:dyDescent="0.2">
      <c r="C16" t="s">
        <v>9</v>
      </c>
      <c r="D16" s="2">
        <v>8</v>
      </c>
      <c r="E16" s="2">
        <v>8</v>
      </c>
      <c r="F16" s="2">
        <v>8</v>
      </c>
      <c r="G16" s="2">
        <v>8</v>
      </c>
      <c r="H16" s="2" t="s">
        <v>20</v>
      </c>
      <c r="I16" s="2" t="s">
        <v>20</v>
      </c>
      <c r="J16" s="2">
        <v>8</v>
      </c>
      <c r="K16" s="2">
        <v>8</v>
      </c>
      <c r="L16" s="2">
        <v>8</v>
      </c>
      <c r="M16" s="2">
        <v>8</v>
      </c>
      <c r="N16" s="2">
        <v>8</v>
      </c>
      <c r="O16" s="2" t="s">
        <v>20</v>
      </c>
      <c r="P16" s="2" t="s">
        <v>20</v>
      </c>
      <c r="Q16" s="2" t="s">
        <v>33</v>
      </c>
      <c r="R16" s="2" t="s">
        <v>33</v>
      </c>
      <c r="S16" s="2" t="s">
        <v>33</v>
      </c>
      <c r="T16" s="2" t="s">
        <v>33</v>
      </c>
      <c r="U16" s="2" t="s">
        <v>33</v>
      </c>
      <c r="V16" s="2" t="s">
        <v>20</v>
      </c>
      <c r="W16" s="2" t="s">
        <v>20</v>
      </c>
      <c r="X16" s="2" t="s">
        <v>33</v>
      </c>
      <c r="Y16" s="2" t="s">
        <v>33</v>
      </c>
      <c r="Z16" s="2" t="s">
        <v>33</v>
      </c>
      <c r="AA16" s="2" t="s">
        <v>33</v>
      </c>
      <c r="AB16" s="2" t="s">
        <v>33</v>
      </c>
      <c r="AC16" s="2" t="s">
        <v>20</v>
      </c>
      <c r="AD16" s="2" t="s">
        <v>20</v>
      </c>
      <c r="AE16" s="2">
        <v>8</v>
      </c>
      <c r="AF16" s="2">
        <v>8</v>
      </c>
      <c r="AG16" s="2">
        <v>8</v>
      </c>
      <c r="AH16" s="2">
        <v>8</v>
      </c>
      <c r="AI16" s="10">
        <f t="shared" si="0"/>
        <v>104</v>
      </c>
      <c r="AJ16" s="2"/>
      <c r="AK16" s="2"/>
    </row>
    <row r="17" spans="2:37" s="3" customFormat="1" x14ac:dyDescent="0.2">
      <c r="AI17" s="11">
        <f>SUM(AI9:AI16)</f>
        <v>104</v>
      </c>
      <c r="AK17" s="3">
        <f>SUM(AI17,AJ9:AK9)</f>
        <v>104</v>
      </c>
    </row>
    <row r="18" spans="2:37" x14ac:dyDescent="0.2">
      <c r="B18" s="6" t="s">
        <v>5</v>
      </c>
      <c r="C18" t="s">
        <v>6</v>
      </c>
      <c r="E18" s="2" t="s">
        <v>20</v>
      </c>
      <c r="F18" s="2" t="s">
        <v>20</v>
      </c>
      <c r="L18" s="2" t="s">
        <v>20</v>
      </c>
      <c r="M18" s="2" t="s">
        <v>20</v>
      </c>
      <c r="S18" s="2" t="s">
        <v>20</v>
      </c>
      <c r="T18" s="2" t="s">
        <v>20</v>
      </c>
      <c r="Z18" s="2" t="s">
        <v>20</v>
      </c>
      <c r="AA18" s="2" t="s">
        <v>20</v>
      </c>
      <c r="AG18" s="2" t="s">
        <v>20</v>
      </c>
      <c r="AH18" s="2" t="s">
        <v>20</v>
      </c>
      <c r="AI18" s="10">
        <f>SUM(D18,G18:K18,N18:R18,U18:Y18,AB18:AF18)</f>
        <v>0</v>
      </c>
      <c r="AJ18">
        <v>0</v>
      </c>
      <c r="AK18">
        <v>0</v>
      </c>
    </row>
    <row r="19" spans="2:37" x14ac:dyDescent="0.2">
      <c r="C19" t="s">
        <v>10</v>
      </c>
      <c r="E19" s="2" t="s">
        <v>20</v>
      </c>
      <c r="F19" s="2" t="s">
        <v>20</v>
      </c>
      <c r="L19" s="2" t="s">
        <v>20</v>
      </c>
      <c r="M19" s="2" t="s">
        <v>20</v>
      </c>
      <c r="S19" s="2" t="s">
        <v>20</v>
      </c>
      <c r="T19" s="2" t="s">
        <v>20</v>
      </c>
      <c r="Z19" s="2" t="s">
        <v>20</v>
      </c>
      <c r="AA19" s="2" t="s">
        <v>20</v>
      </c>
      <c r="AG19" s="2" t="s">
        <v>20</v>
      </c>
      <c r="AH19" s="2" t="s">
        <v>20</v>
      </c>
      <c r="AI19" s="10">
        <f t="shared" ref="AI19:AI25" si="1">SUM(D19,G19:K19,N19:R19,U19:Y19,AB19:AF19)</f>
        <v>0</v>
      </c>
    </row>
    <row r="20" spans="2:37" x14ac:dyDescent="0.2">
      <c r="B20" t="s">
        <v>28</v>
      </c>
      <c r="C20" t="s">
        <v>8</v>
      </c>
      <c r="E20" s="2" t="s">
        <v>20</v>
      </c>
      <c r="F20" s="2" t="s">
        <v>20</v>
      </c>
      <c r="L20" s="2" t="s">
        <v>20</v>
      </c>
      <c r="M20" s="2" t="s">
        <v>20</v>
      </c>
      <c r="S20" s="2" t="s">
        <v>20</v>
      </c>
      <c r="T20" s="2" t="s">
        <v>20</v>
      </c>
      <c r="Z20" s="2" t="s">
        <v>20</v>
      </c>
      <c r="AA20" s="2" t="s">
        <v>20</v>
      </c>
      <c r="AG20" s="2" t="s">
        <v>20</v>
      </c>
      <c r="AH20" s="2" t="s">
        <v>20</v>
      </c>
      <c r="AI20" s="10">
        <f t="shared" si="1"/>
        <v>0</v>
      </c>
    </row>
    <row r="21" spans="2:37" x14ac:dyDescent="0.2">
      <c r="C21" t="s">
        <v>13</v>
      </c>
      <c r="E21" s="2" t="s">
        <v>20</v>
      </c>
      <c r="F21" s="2" t="s">
        <v>20</v>
      </c>
      <c r="L21" s="2" t="s">
        <v>20</v>
      </c>
      <c r="M21" s="2" t="s">
        <v>20</v>
      </c>
      <c r="S21" s="2" t="s">
        <v>20</v>
      </c>
      <c r="T21" s="2" t="s">
        <v>20</v>
      </c>
      <c r="Z21" s="2" t="s">
        <v>20</v>
      </c>
      <c r="AA21" s="2" t="s">
        <v>20</v>
      </c>
      <c r="AG21" s="2" t="s">
        <v>20</v>
      </c>
      <c r="AH21" s="2" t="s">
        <v>20</v>
      </c>
      <c r="AI21" s="10">
        <f t="shared" si="1"/>
        <v>0</v>
      </c>
    </row>
    <row r="22" spans="2:37" x14ac:dyDescent="0.2">
      <c r="B22" s="6">
        <v>168</v>
      </c>
      <c r="C22" t="s">
        <v>11</v>
      </c>
      <c r="E22" s="2" t="s">
        <v>20</v>
      </c>
      <c r="F22" s="2" t="s">
        <v>20</v>
      </c>
      <c r="L22" s="2" t="s">
        <v>20</v>
      </c>
      <c r="M22" s="2" t="s">
        <v>20</v>
      </c>
      <c r="S22" s="2" t="s">
        <v>20</v>
      </c>
      <c r="T22" s="2" t="s">
        <v>20</v>
      </c>
      <c r="Z22" s="2" t="s">
        <v>20</v>
      </c>
      <c r="AA22" s="2" t="s">
        <v>20</v>
      </c>
      <c r="AG22" s="2" t="s">
        <v>20</v>
      </c>
      <c r="AH22" s="2" t="s">
        <v>20</v>
      </c>
      <c r="AI22" s="10">
        <f t="shared" si="1"/>
        <v>0</v>
      </c>
    </row>
    <row r="23" spans="2:37" x14ac:dyDescent="0.2">
      <c r="C23" t="s">
        <v>7</v>
      </c>
      <c r="E23" s="2" t="s">
        <v>20</v>
      </c>
      <c r="F23" s="2" t="s">
        <v>20</v>
      </c>
      <c r="L23" s="2" t="s">
        <v>20</v>
      </c>
      <c r="M23" s="2" t="s">
        <v>20</v>
      </c>
      <c r="S23" s="2" t="s">
        <v>20</v>
      </c>
      <c r="T23" s="2" t="s">
        <v>20</v>
      </c>
      <c r="Z23" s="2" t="s">
        <v>20</v>
      </c>
      <c r="AA23" s="2" t="s">
        <v>20</v>
      </c>
      <c r="AG23" s="2" t="s">
        <v>20</v>
      </c>
      <c r="AH23" s="2" t="s">
        <v>20</v>
      </c>
      <c r="AI23" s="10">
        <f t="shared" si="1"/>
        <v>0</v>
      </c>
    </row>
    <row r="24" spans="2:37" x14ac:dyDescent="0.2">
      <c r="C24" t="s">
        <v>12</v>
      </c>
      <c r="E24" s="2" t="s">
        <v>20</v>
      </c>
      <c r="F24" s="2" t="s">
        <v>20</v>
      </c>
      <c r="L24" s="2" t="s">
        <v>20</v>
      </c>
      <c r="M24" s="2" t="s">
        <v>20</v>
      </c>
      <c r="S24" s="2" t="s">
        <v>20</v>
      </c>
      <c r="T24" s="2" t="s">
        <v>20</v>
      </c>
      <c r="Z24" s="2" t="s">
        <v>20</v>
      </c>
      <c r="AA24" s="2" t="s">
        <v>20</v>
      </c>
      <c r="AG24" s="2" t="s">
        <v>20</v>
      </c>
      <c r="AH24" s="2" t="s">
        <v>20</v>
      </c>
      <c r="AI24" s="10">
        <f t="shared" si="1"/>
        <v>0</v>
      </c>
    </row>
    <row r="25" spans="2:37" x14ac:dyDescent="0.2">
      <c r="C25" t="s">
        <v>9</v>
      </c>
      <c r="D25">
        <v>8</v>
      </c>
      <c r="E25" s="2" t="s">
        <v>20</v>
      </c>
      <c r="F25" s="2" t="s">
        <v>20</v>
      </c>
      <c r="G25">
        <v>8</v>
      </c>
      <c r="H25">
        <v>8</v>
      </c>
      <c r="I25">
        <v>8</v>
      </c>
      <c r="J25">
        <v>8</v>
      </c>
      <c r="K25">
        <v>8</v>
      </c>
      <c r="L25" s="2" t="s">
        <v>20</v>
      </c>
      <c r="M25" s="2" t="s">
        <v>20</v>
      </c>
      <c r="N25">
        <v>8</v>
      </c>
      <c r="O25">
        <v>8</v>
      </c>
      <c r="P25">
        <v>8</v>
      </c>
      <c r="Q25">
        <v>8</v>
      </c>
      <c r="R25">
        <v>8</v>
      </c>
      <c r="S25" s="2" t="s">
        <v>20</v>
      </c>
      <c r="T25" s="2" t="s">
        <v>20</v>
      </c>
      <c r="U25">
        <v>8</v>
      </c>
      <c r="V25">
        <v>8</v>
      </c>
      <c r="W25">
        <v>8</v>
      </c>
      <c r="X25">
        <v>8</v>
      </c>
      <c r="Y25">
        <v>8</v>
      </c>
      <c r="Z25" s="2" t="s">
        <v>20</v>
      </c>
      <c r="AA25" s="2" t="s">
        <v>20</v>
      </c>
      <c r="AB25">
        <v>8</v>
      </c>
      <c r="AC25">
        <v>8</v>
      </c>
      <c r="AD25">
        <v>8</v>
      </c>
      <c r="AE25">
        <v>8</v>
      </c>
      <c r="AF25">
        <v>8</v>
      </c>
      <c r="AG25" s="2" t="s">
        <v>20</v>
      </c>
      <c r="AH25" s="2" t="s">
        <v>20</v>
      </c>
      <c r="AI25" s="10">
        <f t="shared" si="1"/>
        <v>168</v>
      </c>
    </row>
    <row r="26" spans="2:37" s="1" customFormat="1" x14ac:dyDescent="0.2">
      <c r="AI26" s="11">
        <f>SUM(AI18:AI25)</f>
        <v>168</v>
      </c>
      <c r="AK26" s="1">
        <f>SUM(AI26,AJ18:AK18)</f>
        <v>168</v>
      </c>
    </row>
    <row r="27" spans="2:37" x14ac:dyDescent="0.2">
      <c r="B27" s="6" t="s">
        <v>14</v>
      </c>
      <c r="C27" t="s">
        <v>6</v>
      </c>
      <c r="I27" s="2" t="s">
        <v>20</v>
      </c>
      <c r="J27" s="2" t="s">
        <v>20</v>
      </c>
      <c r="P27" s="2" t="s">
        <v>20</v>
      </c>
      <c r="Q27" s="2" t="s">
        <v>20</v>
      </c>
      <c r="W27" s="2" t="s">
        <v>20</v>
      </c>
      <c r="X27" s="2" t="s">
        <v>20</v>
      </c>
      <c r="AD27" s="2" t="s">
        <v>20</v>
      </c>
      <c r="AE27" s="2" t="s">
        <v>20</v>
      </c>
      <c r="AF27" s="2" t="s">
        <v>33</v>
      </c>
      <c r="AG27" s="2" t="s">
        <v>33</v>
      </c>
      <c r="AH27" s="9"/>
      <c r="AI27" s="10">
        <f>SUM(D27:H27,K27:O27,R27:V27,Y27:AC27,AF27:AG27)</f>
        <v>0</v>
      </c>
      <c r="AJ27">
        <v>16</v>
      </c>
      <c r="AK27">
        <v>0</v>
      </c>
    </row>
    <row r="28" spans="2:37" x14ac:dyDescent="0.2">
      <c r="C28" t="s">
        <v>10</v>
      </c>
      <c r="I28" s="2" t="s">
        <v>20</v>
      </c>
      <c r="J28" s="2" t="s">
        <v>20</v>
      </c>
      <c r="P28" s="2" t="s">
        <v>20</v>
      </c>
      <c r="Q28" s="2" t="s">
        <v>20</v>
      </c>
      <c r="W28" s="2" t="s">
        <v>20</v>
      </c>
      <c r="X28" s="2" t="s">
        <v>20</v>
      </c>
      <c r="AD28" s="2" t="s">
        <v>20</v>
      </c>
      <c r="AE28" s="2" t="s">
        <v>20</v>
      </c>
      <c r="AF28" s="2" t="s">
        <v>33</v>
      </c>
      <c r="AG28" s="2" t="s">
        <v>33</v>
      </c>
      <c r="AH28" s="9"/>
      <c r="AI28" s="10">
        <f t="shared" ref="AI28:AI34" si="2">SUM(D28:H28,K28:O28,R28:V28,Y28:AC28,AF28:AG28)</f>
        <v>0</v>
      </c>
    </row>
    <row r="29" spans="2:37" x14ac:dyDescent="0.2">
      <c r="B29" t="s">
        <v>29</v>
      </c>
      <c r="C29" t="s">
        <v>8</v>
      </c>
      <c r="I29" s="2" t="s">
        <v>20</v>
      </c>
      <c r="J29" s="2" t="s">
        <v>20</v>
      </c>
      <c r="P29" s="2" t="s">
        <v>20</v>
      </c>
      <c r="Q29" s="2" t="s">
        <v>20</v>
      </c>
      <c r="W29" s="2" t="s">
        <v>20</v>
      </c>
      <c r="X29" s="2" t="s">
        <v>20</v>
      </c>
      <c r="AD29" s="2" t="s">
        <v>20</v>
      </c>
      <c r="AE29" s="2" t="s">
        <v>20</v>
      </c>
      <c r="AF29" s="2" t="s">
        <v>33</v>
      </c>
      <c r="AG29" s="2" t="s">
        <v>33</v>
      </c>
      <c r="AH29" s="9"/>
      <c r="AI29" s="10">
        <f t="shared" si="2"/>
        <v>0</v>
      </c>
    </row>
    <row r="30" spans="2:37" x14ac:dyDescent="0.2">
      <c r="C30" t="s">
        <v>13</v>
      </c>
      <c r="I30" s="2" t="s">
        <v>20</v>
      </c>
      <c r="J30" s="2" t="s">
        <v>20</v>
      </c>
      <c r="P30" s="2" t="s">
        <v>20</v>
      </c>
      <c r="Q30" s="2" t="s">
        <v>20</v>
      </c>
      <c r="W30" s="2" t="s">
        <v>20</v>
      </c>
      <c r="X30" s="2" t="s">
        <v>20</v>
      </c>
      <c r="AD30" s="2" t="s">
        <v>20</v>
      </c>
      <c r="AE30" s="2" t="s">
        <v>20</v>
      </c>
      <c r="AF30" s="2" t="s">
        <v>33</v>
      </c>
      <c r="AG30" s="2" t="s">
        <v>33</v>
      </c>
      <c r="AH30" s="9"/>
      <c r="AI30" s="10">
        <f t="shared" si="2"/>
        <v>0</v>
      </c>
    </row>
    <row r="31" spans="2:37" x14ac:dyDescent="0.2">
      <c r="B31" s="6">
        <v>176</v>
      </c>
      <c r="C31" t="s">
        <v>11</v>
      </c>
      <c r="I31" s="2" t="s">
        <v>20</v>
      </c>
      <c r="J31" s="2" t="s">
        <v>20</v>
      </c>
      <c r="P31" s="2" t="s">
        <v>20</v>
      </c>
      <c r="Q31" s="2" t="s">
        <v>20</v>
      </c>
      <c r="W31" s="2" t="s">
        <v>20</v>
      </c>
      <c r="X31" s="2" t="s">
        <v>20</v>
      </c>
      <c r="AD31" s="2" t="s">
        <v>20</v>
      </c>
      <c r="AE31" s="2" t="s">
        <v>20</v>
      </c>
      <c r="AF31" s="2" t="s">
        <v>33</v>
      </c>
      <c r="AG31" s="2" t="s">
        <v>33</v>
      </c>
      <c r="AH31" s="9"/>
      <c r="AI31" s="10">
        <f t="shared" si="2"/>
        <v>0</v>
      </c>
    </row>
    <row r="32" spans="2:37" x14ac:dyDescent="0.2">
      <c r="C32" t="s">
        <v>7</v>
      </c>
      <c r="I32" s="2" t="s">
        <v>20</v>
      </c>
      <c r="J32" s="2" t="s">
        <v>20</v>
      </c>
      <c r="P32" s="2" t="s">
        <v>20</v>
      </c>
      <c r="Q32" s="2" t="s">
        <v>20</v>
      </c>
      <c r="W32" s="2" t="s">
        <v>20</v>
      </c>
      <c r="X32" s="2" t="s">
        <v>20</v>
      </c>
      <c r="AD32" s="2" t="s">
        <v>20</v>
      </c>
      <c r="AE32" s="2" t="s">
        <v>20</v>
      </c>
      <c r="AF32" s="2" t="s">
        <v>33</v>
      </c>
      <c r="AG32" s="2" t="s">
        <v>33</v>
      </c>
      <c r="AH32" s="9"/>
      <c r="AI32" s="10">
        <f t="shared" si="2"/>
        <v>0</v>
      </c>
    </row>
    <row r="33" spans="2:37" x14ac:dyDescent="0.2">
      <c r="C33" t="s">
        <v>12</v>
      </c>
      <c r="I33" s="2" t="s">
        <v>20</v>
      </c>
      <c r="J33" s="2" t="s">
        <v>20</v>
      </c>
      <c r="P33" s="2" t="s">
        <v>20</v>
      </c>
      <c r="Q33" s="2" t="s">
        <v>20</v>
      </c>
      <c r="W33" s="2" t="s">
        <v>20</v>
      </c>
      <c r="X33" s="2" t="s">
        <v>20</v>
      </c>
      <c r="AD33" s="2" t="s">
        <v>20</v>
      </c>
      <c r="AE33" s="2" t="s">
        <v>20</v>
      </c>
      <c r="AF33" s="2" t="s">
        <v>33</v>
      </c>
      <c r="AG33" s="2" t="s">
        <v>33</v>
      </c>
      <c r="AH33" s="9"/>
      <c r="AI33" s="10">
        <f t="shared" si="2"/>
        <v>0</v>
      </c>
    </row>
    <row r="34" spans="2:37" x14ac:dyDescent="0.2">
      <c r="C34" t="s">
        <v>9</v>
      </c>
      <c r="D34">
        <v>8</v>
      </c>
      <c r="E34">
        <v>8</v>
      </c>
      <c r="F34">
        <v>8</v>
      </c>
      <c r="G34">
        <v>8</v>
      </c>
      <c r="H34">
        <v>8</v>
      </c>
      <c r="I34" s="2" t="s">
        <v>20</v>
      </c>
      <c r="J34" s="2" t="s">
        <v>20</v>
      </c>
      <c r="K34">
        <v>8</v>
      </c>
      <c r="L34">
        <v>8</v>
      </c>
      <c r="M34">
        <v>8</v>
      </c>
      <c r="N34">
        <v>8</v>
      </c>
      <c r="O34">
        <v>8</v>
      </c>
      <c r="P34" s="2" t="s">
        <v>20</v>
      </c>
      <c r="Q34" s="2" t="s">
        <v>20</v>
      </c>
      <c r="R34">
        <v>8</v>
      </c>
      <c r="S34">
        <v>8</v>
      </c>
      <c r="T34">
        <v>8</v>
      </c>
      <c r="U34">
        <v>8</v>
      </c>
      <c r="V34">
        <v>8</v>
      </c>
      <c r="W34" s="2" t="s">
        <v>20</v>
      </c>
      <c r="X34" s="2" t="s">
        <v>20</v>
      </c>
      <c r="Y34">
        <v>8</v>
      </c>
      <c r="Z34">
        <v>8</v>
      </c>
      <c r="AA34">
        <v>8</v>
      </c>
      <c r="AB34">
        <v>8</v>
      </c>
      <c r="AC34">
        <v>8</v>
      </c>
      <c r="AD34" s="2" t="s">
        <v>20</v>
      </c>
      <c r="AE34" s="2" t="s">
        <v>20</v>
      </c>
      <c r="AF34" s="2" t="s">
        <v>33</v>
      </c>
      <c r="AG34" s="2" t="s">
        <v>33</v>
      </c>
      <c r="AH34" s="9"/>
      <c r="AI34" s="10">
        <f t="shared" si="2"/>
        <v>160</v>
      </c>
    </row>
    <row r="35" spans="2:37" s="1" customFormat="1" x14ac:dyDescent="0.2">
      <c r="AI35" s="11">
        <f>SUM(AI27:AI34)</f>
        <v>160</v>
      </c>
      <c r="AK35" s="1">
        <f>SUM(AI35,AJ27:AK27)</f>
        <v>176</v>
      </c>
    </row>
    <row r="36" spans="2:37" x14ac:dyDescent="0.2">
      <c r="B36" s="6" t="s">
        <v>15</v>
      </c>
      <c r="C36" t="s">
        <v>16</v>
      </c>
      <c r="D36" s="2" t="s">
        <v>33</v>
      </c>
      <c r="E36" s="2" t="s">
        <v>33</v>
      </c>
      <c r="F36" s="4" t="s">
        <v>25</v>
      </c>
      <c r="G36" s="2" t="s">
        <v>20</v>
      </c>
      <c r="H36" s="2" t="s">
        <v>20</v>
      </c>
      <c r="N36" s="2" t="s">
        <v>20</v>
      </c>
      <c r="O36" s="2" t="s">
        <v>20</v>
      </c>
      <c r="U36" s="2" t="s">
        <v>20</v>
      </c>
      <c r="V36" s="2" t="s">
        <v>20</v>
      </c>
      <c r="AB36" s="2" t="s">
        <v>20</v>
      </c>
      <c r="AC36" s="2" t="s">
        <v>20</v>
      </c>
      <c r="AH36" s="4" t="s">
        <v>25</v>
      </c>
      <c r="AI36" s="10">
        <f>SUM(D36:E36,I36:M36,P36:T36,W36:AA36,AD36:AG36)</f>
        <v>0</v>
      </c>
      <c r="AJ36">
        <v>16</v>
      </c>
      <c r="AK36">
        <v>16</v>
      </c>
    </row>
    <row r="37" spans="2:37" x14ac:dyDescent="0.2">
      <c r="C37" t="s">
        <v>10</v>
      </c>
      <c r="D37" s="2" t="s">
        <v>33</v>
      </c>
      <c r="E37" s="2" t="s">
        <v>33</v>
      </c>
      <c r="F37" s="4" t="s">
        <v>25</v>
      </c>
      <c r="G37" s="2" t="s">
        <v>20</v>
      </c>
      <c r="H37" s="2" t="s">
        <v>20</v>
      </c>
      <c r="N37" s="2" t="s">
        <v>20</v>
      </c>
      <c r="O37" s="2" t="s">
        <v>20</v>
      </c>
      <c r="U37" s="2" t="s">
        <v>20</v>
      </c>
      <c r="V37" s="2" t="s">
        <v>20</v>
      </c>
      <c r="AB37" s="2" t="s">
        <v>20</v>
      </c>
      <c r="AC37" s="2" t="s">
        <v>20</v>
      </c>
      <c r="AH37" s="4" t="s">
        <v>25</v>
      </c>
      <c r="AI37" s="10">
        <f t="shared" ref="AI37:AI44" si="3">SUM(D37:E37,I37:M37,P37:T37,W37:AA37,AD37:AG37)</f>
        <v>0</v>
      </c>
    </row>
    <row r="38" spans="2:37" x14ac:dyDescent="0.2">
      <c r="B38" t="s">
        <v>29</v>
      </c>
      <c r="C38" t="s">
        <v>8</v>
      </c>
      <c r="D38" s="2" t="s">
        <v>33</v>
      </c>
      <c r="E38" s="2" t="s">
        <v>33</v>
      </c>
      <c r="F38" s="4" t="s">
        <v>25</v>
      </c>
      <c r="G38" s="2" t="s">
        <v>20</v>
      </c>
      <c r="H38" s="2" t="s">
        <v>20</v>
      </c>
      <c r="N38" s="2" t="s">
        <v>20</v>
      </c>
      <c r="O38" s="2" t="s">
        <v>20</v>
      </c>
      <c r="U38" s="2" t="s">
        <v>20</v>
      </c>
      <c r="V38" s="2" t="s">
        <v>20</v>
      </c>
      <c r="AB38" s="2" t="s">
        <v>20</v>
      </c>
      <c r="AC38" s="2" t="s">
        <v>20</v>
      </c>
      <c r="AH38" s="4" t="s">
        <v>25</v>
      </c>
      <c r="AI38" s="10">
        <f>SUM(D38:E38,I38:M38,P38:T38,W38:AA38,AD38:AG38)</f>
        <v>0</v>
      </c>
    </row>
    <row r="39" spans="2:37" x14ac:dyDescent="0.2">
      <c r="B39" t="s">
        <v>30</v>
      </c>
      <c r="C39" t="s">
        <v>13</v>
      </c>
      <c r="D39" s="2" t="s">
        <v>33</v>
      </c>
      <c r="E39" s="2" t="s">
        <v>33</v>
      </c>
      <c r="F39" s="4" t="s">
        <v>25</v>
      </c>
      <c r="G39" s="2" t="s">
        <v>20</v>
      </c>
      <c r="H39" s="2" t="s">
        <v>20</v>
      </c>
      <c r="N39" s="2" t="s">
        <v>20</v>
      </c>
      <c r="O39" s="2" t="s">
        <v>20</v>
      </c>
      <c r="U39" s="2" t="s">
        <v>20</v>
      </c>
      <c r="V39" s="2" t="s">
        <v>20</v>
      </c>
      <c r="AB39" s="2" t="s">
        <v>20</v>
      </c>
      <c r="AC39" s="2" t="s">
        <v>20</v>
      </c>
      <c r="AH39" s="4" t="s">
        <v>25</v>
      </c>
      <c r="AI39" s="10">
        <f>SUM(D39:E39,I39:M39,P39:T39,W39:AA39,AD39:AG39)</f>
        <v>0</v>
      </c>
    </row>
    <row r="40" spans="2:37" x14ac:dyDescent="0.2">
      <c r="B40" s="6">
        <v>184</v>
      </c>
      <c r="C40" t="s">
        <v>11</v>
      </c>
      <c r="D40" s="2" t="s">
        <v>33</v>
      </c>
      <c r="E40" s="2" t="s">
        <v>33</v>
      </c>
      <c r="F40" s="4" t="s">
        <v>25</v>
      </c>
      <c r="G40" s="2" t="s">
        <v>20</v>
      </c>
      <c r="H40" s="2" t="s">
        <v>20</v>
      </c>
      <c r="N40" s="2" t="s">
        <v>20</v>
      </c>
      <c r="O40" s="2" t="s">
        <v>20</v>
      </c>
      <c r="U40" s="2" t="s">
        <v>20</v>
      </c>
      <c r="V40" s="2" t="s">
        <v>20</v>
      </c>
      <c r="AB40" s="2" t="s">
        <v>20</v>
      </c>
      <c r="AC40" s="2" t="s">
        <v>20</v>
      </c>
      <c r="AH40" s="4" t="s">
        <v>25</v>
      </c>
      <c r="AI40" s="10">
        <f t="shared" si="3"/>
        <v>0</v>
      </c>
    </row>
    <row r="41" spans="2:37" x14ac:dyDescent="0.2">
      <c r="C41" t="s">
        <v>35</v>
      </c>
      <c r="D41" s="2" t="s">
        <v>33</v>
      </c>
      <c r="E41" s="2" t="s">
        <v>33</v>
      </c>
      <c r="F41" s="4" t="s">
        <v>25</v>
      </c>
      <c r="G41" s="2" t="s">
        <v>20</v>
      </c>
      <c r="H41" s="2" t="s">
        <v>20</v>
      </c>
      <c r="N41" s="2" t="s">
        <v>20</v>
      </c>
      <c r="O41" s="2" t="s">
        <v>20</v>
      </c>
      <c r="U41" s="2" t="s">
        <v>20</v>
      </c>
      <c r="V41" s="2" t="s">
        <v>20</v>
      </c>
      <c r="AB41" s="2" t="s">
        <v>20</v>
      </c>
      <c r="AC41" s="2" t="s">
        <v>20</v>
      </c>
      <c r="AH41" s="4" t="s">
        <v>25</v>
      </c>
      <c r="AI41" s="10">
        <v>0</v>
      </c>
    </row>
    <row r="42" spans="2:37" x14ac:dyDescent="0.2">
      <c r="C42" t="s">
        <v>7</v>
      </c>
      <c r="D42" s="2" t="s">
        <v>33</v>
      </c>
      <c r="E42" s="2" t="s">
        <v>33</v>
      </c>
      <c r="F42" s="4" t="s">
        <v>25</v>
      </c>
      <c r="G42" s="2" t="s">
        <v>20</v>
      </c>
      <c r="H42" s="2" t="s">
        <v>20</v>
      </c>
      <c r="N42" s="2" t="s">
        <v>20</v>
      </c>
      <c r="O42" s="2" t="s">
        <v>20</v>
      </c>
      <c r="U42" s="2" t="s">
        <v>20</v>
      </c>
      <c r="V42" s="2" t="s">
        <v>20</v>
      </c>
      <c r="AB42" s="2" t="s">
        <v>20</v>
      </c>
      <c r="AC42" s="2" t="s">
        <v>20</v>
      </c>
      <c r="AH42" s="4" t="s">
        <v>25</v>
      </c>
      <c r="AI42" s="10">
        <f t="shared" si="3"/>
        <v>0</v>
      </c>
    </row>
    <row r="43" spans="2:37" x14ac:dyDescent="0.2">
      <c r="C43" t="s">
        <v>12</v>
      </c>
      <c r="D43" s="2" t="s">
        <v>33</v>
      </c>
      <c r="E43" s="2" t="s">
        <v>33</v>
      </c>
      <c r="F43" s="4" t="s">
        <v>25</v>
      </c>
      <c r="G43" s="2" t="s">
        <v>20</v>
      </c>
      <c r="H43" s="2" t="s">
        <v>20</v>
      </c>
      <c r="N43" s="2" t="s">
        <v>20</v>
      </c>
      <c r="O43" s="2" t="s">
        <v>20</v>
      </c>
      <c r="U43" s="2" t="s">
        <v>20</v>
      </c>
      <c r="V43" s="2" t="s">
        <v>20</v>
      </c>
      <c r="AB43" s="2" t="s">
        <v>20</v>
      </c>
      <c r="AC43" s="2" t="s">
        <v>20</v>
      </c>
      <c r="AH43" s="4" t="s">
        <v>25</v>
      </c>
      <c r="AI43" s="10">
        <f t="shared" si="3"/>
        <v>0</v>
      </c>
    </row>
    <row r="44" spans="2:37" x14ac:dyDescent="0.2">
      <c r="C44" t="s">
        <v>9</v>
      </c>
      <c r="D44" s="2" t="s">
        <v>33</v>
      </c>
      <c r="E44" s="2" t="s">
        <v>33</v>
      </c>
      <c r="F44" s="4" t="s">
        <v>25</v>
      </c>
      <c r="G44" s="2" t="s">
        <v>20</v>
      </c>
      <c r="H44" s="2" t="s">
        <v>20</v>
      </c>
      <c r="I44">
        <v>8</v>
      </c>
      <c r="J44">
        <v>8</v>
      </c>
      <c r="K44">
        <v>8</v>
      </c>
      <c r="L44">
        <v>8</v>
      </c>
      <c r="M44">
        <v>8</v>
      </c>
      <c r="N44" s="2" t="s">
        <v>20</v>
      </c>
      <c r="O44" s="2" t="s">
        <v>20</v>
      </c>
      <c r="P44">
        <v>8</v>
      </c>
      <c r="Q44">
        <v>8</v>
      </c>
      <c r="R44">
        <v>8</v>
      </c>
      <c r="S44">
        <v>8</v>
      </c>
      <c r="T44">
        <v>8</v>
      </c>
      <c r="U44" s="2" t="s">
        <v>20</v>
      </c>
      <c r="V44" s="2" t="s">
        <v>20</v>
      </c>
      <c r="W44">
        <v>8</v>
      </c>
      <c r="X44">
        <v>8</v>
      </c>
      <c r="Y44">
        <v>8</v>
      </c>
      <c r="Z44">
        <v>8</v>
      </c>
      <c r="AA44">
        <v>8</v>
      </c>
      <c r="AB44" s="2" t="s">
        <v>20</v>
      </c>
      <c r="AC44" s="2" t="s">
        <v>20</v>
      </c>
      <c r="AD44">
        <v>8</v>
      </c>
      <c r="AE44">
        <v>8</v>
      </c>
      <c r="AF44">
        <v>8</v>
      </c>
      <c r="AG44">
        <v>8</v>
      </c>
      <c r="AH44" s="4" t="s">
        <v>25</v>
      </c>
      <c r="AI44" s="10">
        <f t="shared" si="3"/>
        <v>152</v>
      </c>
    </row>
    <row r="45" spans="2:37" s="1" customFormat="1" x14ac:dyDescent="0.2">
      <c r="AI45" s="11">
        <f>SUM(AI36:AI44)</f>
        <v>152</v>
      </c>
      <c r="AK45" s="1">
        <f>SUM(AI45,AJ36:AK36)</f>
        <v>184</v>
      </c>
    </row>
    <row r="46" spans="2:37" x14ac:dyDescent="0.2">
      <c r="B46" s="6" t="s">
        <v>18</v>
      </c>
      <c r="C46" t="s">
        <v>16</v>
      </c>
      <c r="D46" s="2" t="s">
        <v>20</v>
      </c>
      <c r="E46" s="2" t="s">
        <v>20</v>
      </c>
      <c r="K46" s="2" t="s">
        <v>20</v>
      </c>
      <c r="L46" s="2" t="s">
        <v>20</v>
      </c>
      <c r="R46" s="2" t="s">
        <v>20</v>
      </c>
      <c r="S46" s="2" t="s">
        <v>20</v>
      </c>
      <c r="T46" s="2" t="s">
        <v>33</v>
      </c>
      <c r="U46" s="2" t="s">
        <v>33</v>
      </c>
      <c r="V46" s="2" t="s">
        <v>33</v>
      </c>
      <c r="W46" s="2" t="s">
        <v>33</v>
      </c>
      <c r="X46" s="2" t="s">
        <v>33</v>
      </c>
      <c r="Y46" s="2" t="s">
        <v>20</v>
      </c>
      <c r="Z46" s="2" t="s">
        <v>20</v>
      </c>
      <c r="AA46" s="2" t="s">
        <v>33</v>
      </c>
      <c r="AB46" s="2" t="s">
        <v>33</v>
      </c>
      <c r="AC46" s="2" t="s">
        <v>33</v>
      </c>
      <c r="AD46" s="2" t="s">
        <v>33</v>
      </c>
      <c r="AE46" s="2" t="s">
        <v>33</v>
      </c>
      <c r="AF46" s="2" t="s">
        <v>20</v>
      </c>
      <c r="AG46" s="2" t="s">
        <v>20</v>
      </c>
      <c r="AH46" s="9"/>
      <c r="AI46" s="10">
        <f>SUM(F46:J46,M46:Q46,T46:X46,AA46:AE46)</f>
        <v>0</v>
      </c>
      <c r="AJ46">
        <v>80</v>
      </c>
    </row>
    <row r="47" spans="2:37" x14ac:dyDescent="0.2">
      <c r="C47" t="s">
        <v>10</v>
      </c>
      <c r="D47" s="2" t="s">
        <v>20</v>
      </c>
      <c r="E47" s="2" t="s">
        <v>20</v>
      </c>
      <c r="K47" s="2" t="s">
        <v>20</v>
      </c>
      <c r="L47" s="2" t="s">
        <v>20</v>
      </c>
      <c r="R47" s="2" t="s">
        <v>20</v>
      </c>
      <c r="S47" s="2" t="s">
        <v>20</v>
      </c>
      <c r="T47" s="2" t="s">
        <v>33</v>
      </c>
      <c r="U47" s="2" t="s">
        <v>33</v>
      </c>
      <c r="V47" s="2" t="s">
        <v>33</v>
      </c>
      <c r="W47" s="2" t="s">
        <v>33</v>
      </c>
      <c r="X47" s="2" t="s">
        <v>33</v>
      </c>
      <c r="Y47" s="2" t="s">
        <v>20</v>
      </c>
      <c r="Z47" s="2" t="s">
        <v>20</v>
      </c>
      <c r="AA47" s="2" t="s">
        <v>33</v>
      </c>
      <c r="AB47" s="2" t="s">
        <v>33</v>
      </c>
      <c r="AC47" s="2" t="s">
        <v>33</v>
      </c>
      <c r="AD47" s="2" t="s">
        <v>33</v>
      </c>
      <c r="AE47" s="2" t="s">
        <v>33</v>
      </c>
      <c r="AF47" s="2" t="s">
        <v>20</v>
      </c>
      <c r="AG47" s="2" t="s">
        <v>20</v>
      </c>
      <c r="AH47" s="9"/>
      <c r="AI47" s="10">
        <f t="shared" ref="AI47:AI54" si="4">SUM(F47:J47,M47:Q47,T47:X47,AA47:AE47)</f>
        <v>0</v>
      </c>
    </row>
    <row r="48" spans="2:37" x14ac:dyDescent="0.2">
      <c r="B48" t="s">
        <v>31</v>
      </c>
      <c r="C48" t="s">
        <v>8</v>
      </c>
      <c r="D48" s="2" t="s">
        <v>20</v>
      </c>
      <c r="E48" s="2" t="s">
        <v>20</v>
      </c>
      <c r="K48" s="2" t="s">
        <v>20</v>
      </c>
      <c r="L48" s="2" t="s">
        <v>20</v>
      </c>
      <c r="R48" s="2" t="s">
        <v>20</v>
      </c>
      <c r="S48" s="2" t="s">
        <v>20</v>
      </c>
      <c r="T48" s="2" t="s">
        <v>33</v>
      </c>
      <c r="U48" s="2" t="s">
        <v>33</v>
      </c>
      <c r="V48" s="2" t="s">
        <v>33</v>
      </c>
      <c r="W48" s="2" t="s">
        <v>33</v>
      </c>
      <c r="X48" s="2" t="s">
        <v>33</v>
      </c>
      <c r="Y48" s="2" t="s">
        <v>20</v>
      </c>
      <c r="Z48" s="2" t="s">
        <v>20</v>
      </c>
      <c r="AA48" s="2" t="s">
        <v>33</v>
      </c>
      <c r="AB48" s="2" t="s">
        <v>33</v>
      </c>
      <c r="AC48" s="2" t="s">
        <v>33</v>
      </c>
      <c r="AD48" s="2" t="s">
        <v>33</v>
      </c>
      <c r="AE48" s="2" t="s">
        <v>33</v>
      </c>
      <c r="AF48" s="2" t="s">
        <v>20</v>
      </c>
      <c r="AG48" s="2" t="s">
        <v>20</v>
      </c>
      <c r="AH48" s="9"/>
      <c r="AI48" s="10">
        <f t="shared" si="4"/>
        <v>0</v>
      </c>
    </row>
    <row r="49" spans="2:37" x14ac:dyDescent="0.2">
      <c r="C49" t="s">
        <v>13</v>
      </c>
      <c r="D49" s="2" t="s">
        <v>20</v>
      </c>
      <c r="E49" s="2" t="s">
        <v>20</v>
      </c>
      <c r="K49" s="2" t="s">
        <v>20</v>
      </c>
      <c r="L49" s="2" t="s">
        <v>20</v>
      </c>
      <c r="R49" s="2" t="s">
        <v>20</v>
      </c>
      <c r="S49" s="2" t="s">
        <v>20</v>
      </c>
      <c r="T49" s="2" t="s">
        <v>33</v>
      </c>
      <c r="U49" s="2" t="s">
        <v>33</v>
      </c>
      <c r="V49" s="2" t="s">
        <v>33</v>
      </c>
      <c r="W49" s="2" t="s">
        <v>33</v>
      </c>
      <c r="X49" s="2" t="s">
        <v>33</v>
      </c>
      <c r="Y49" s="2" t="s">
        <v>20</v>
      </c>
      <c r="Z49" s="2" t="s">
        <v>20</v>
      </c>
      <c r="AA49" s="2" t="s">
        <v>33</v>
      </c>
      <c r="AB49" s="2" t="s">
        <v>33</v>
      </c>
      <c r="AC49" s="2" t="s">
        <v>33</v>
      </c>
      <c r="AD49" s="2" t="s">
        <v>33</v>
      </c>
      <c r="AE49" s="2" t="s">
        <v>33</v>
      </c>
      <c r="AF49" s="2" t="s">
        <v>20</v>
      </c>
      <c r="AG49" s="2" t="s">
        <v>20</v>
      </c>
      <c r="AH49" s="9"/>
      <c r="AI49" s="10">
        <f t="shared" si="4"/>
        <v>0</v>
      </c>
    </row>
    <row r="50" spans="2:37" x14ac:dyDescent="0.2">
      <c r="B50" s="6">
        <v>160</v>
      </c>
      <c r="C50" t="s">
        <v>11</v>
      </c>
      <c r="D50" s="2" t="s">
        <v>20</v>
      </c>
      <c r="E50" s="2" t="s">
        <v>20</v>
      </c>
      <c r="K50" s="2" t="s">
        <v>20</v>
      </c>
      <c r="L50" s="2" t="s">
        <v>20</v>
      </c>
      <c r="R50" s="2" t="s">
        <v>20</v>
      </c>
      <c r="S50" s="2" t="s">
        <v>20</v>
      </c>
      <c r="T50" s="2" t="s">
        <v>33</v>
      </c>
      <c r="U50" s="2" t="s">
        <v>33</v>
      </c>
      <c r="V50" s="2" t="s">
        <v>33</v>
      </c>
      <c r="W50" s="2" t="s">
        <v>33</v>
      </c>
      <c r="X50" s="2" t="s">
        <v>33</v>
      </c>
      <c r="Y50" s="2" t="s">
        <v>20</v>
      </c>
      <c r="Z50" s="2" t="s">
        <v>20</v>
      </c>
      <c r="AA50" s="2" t="s">
        <v>33</v>
      </c>
      <c r="AB50" s="2" t="s">
        <v>33</v>
      </c>
      <c r="AC50" s="2" t="s">
        <v>33</v>
      </c>
      <c r="AD50" s="2" t="s">
        <v>33</v>
      </c>
      <c r="AE50" s="2" t="s">
        <v>33</v>
      </c>
      <c r="AF50" s="2" t="s">
        <v>20</v>
      </c>
      <c r="AG50" s="2" t="s">
        <v>20</v>
      </c>
      <c r="AH50" s="9"/>
      <c r="AI50" s="10">
        <f t="shared" si="4"/>
        <v>0</v>
      </c>
    </row>
    <row r="51" spans="2:37" x14ac:dyDescent="0.2">
      <c r="C51" t="s">
        <v>35</v>
      </c>
      <c r="D51" s="2" t="s">
        <v>20</v>
      </c>
      <c r="E51" s="2" t="s">
        <v>20</v>
      </c>
      <c r="K51" s="2" t="s">
        <v>20</v>
      </c>
      <c r="L51" s="2" t="s">
        <v>20</v>
      </c>
      <c r="R51" s="2" t="s">
        <v>20</v>
      </c>
      <c r="S51" s="2" t="s">
        <v>20</v>
      </c>
      <c r="T51" s="2" t="s">
        <v>33</v>
      </c>
      <c r="U51" s="2" t="s">
        <v>33</v>
      </c>
      <c r="V51" s="2" t="s">
        <v>33</v>
      </c>
      <c r="W51" s="2" t="s">
        <v>33</v>
      </c>
      <c r="X51" s="2" t="s">
        <v>33</v>
      </c>
      <c r="Y51" s="2" t="s">
        <v>20</v>
      </c>
      <c r="Z51" s="2" t="s">
        <v>20</v>
      </c>
      <c r="AA51" s="2" t="s">
        <v>33</v>
      </c>
      <c r="AB51" s="2" t="s">
        <v>33</v>
      </c>
      <c r="AC51" s="2" t="s">
        <v>33</v>
      </c>
      <c r="AD51" s="2" t="s">
        <v>33</v>
      </c>
      <c r="AE51" s="2" t="s">
        <v>33</v>
      </c>
      <c r="AF51" s="2" t="s">
        <v>20</v>
      </c>
      <c r="AG51" s="2" t="s">
        <v>20</v>
      </c>
      <c r="AH51" s="9"/>
      <c r="AI51" s="10">
        <f t="shared" si="4"/>
        <v>0</v>
      </c>
    </row>
    <row r="52" spans="2:37" x14ac:dyDescent="0.2">
      <c r="C52" t="s">
        <v>7</v>
      </c>
      <c r="D52" s="2" t="s">
        <v>20</v>
      </c>
      <c r="E52" s="2" t="s">
        <v>20</v>
      </c>
      <c r="K52" s="2" t="s">
        <v>20</v>
      </c>
      <c r="L52" s="2" t="s">
        <v>20</v>
      </c>
      <c r="R52" s="2" t="s">
        <v>20</v>
      </c>
      <c r="S52" s="2" t="s">
        <v>20</v>
      </c>
      <c r="T52" s="2" t="s">
        <v>33</v>
      </c>
      <c r="U52" s="2" t="s">
        <v>33</v>
      </c>
      <c r="V52" s="2" t="s">
        <v>33</v>
      </c>
      <c r="W52" s="2" t="s">
        <v>33</v>
      </c>
      <c r="X52" s="2" t="s">
        <v>33</v>
      </c>
      <c r="Y52" s="2" t="s">
        <v>20</v>
      </c>
      <c r="Z52" s="2" t="s">
        <v>20</v>
      </c>
      <c r="AA52" s="2" t="s">
        <v>33</v>
      </c>
      <c r="AB52" s="2" t="s">
        <v>33</v>
      </c>
      <c r="AC52" s="2" t="s">
        <v>33</v>
      </c>
      <c r="AD52" s="2" t="s">
        <v>33</v>
      </c>
      <c r="AE52" s="2" t="s">
        <v>33</v>
      </c>
      <c r="AF52" s="2" t="s">
        <v>20</v>
      </c>
      <c r="AG52" s="2" t="s">
        <v>20</v>
      </c>
      <c r="AH52" s="9"/>
      <c r="AI52" s="10">
        <f t="shared" si="4"/>
        <v>0</v>
      </c>
    </row>
    <row r="53" spans="2:37" x14ac:dyDescent="0.2">
      <c r="C53" t="s">
        <v>12</v>
      </c>
      <c r="D53" s="2" t="s">
        <v>20</v>
      </c>
      <c r="E53" s="2" t="s">
        <v>20</v>
      </c>
      <c r="K53" s="2" t="s">
        <v>20</v>
      </c>
      <c r="L53" s="2" t="s">
        <v>20</v>
      </c>
      <c r="R53" s="2" t="s">
        <v>20</v>
      </c>
      <c r="S53" s="2" t="s">
        <v>20</v>
      </c>
      <c r="T53" s="2" t="s">
        <v>33</v>
      </c>
      <c r="U53" s="2" t="s">
        <v>33</v>
      </c>
      <c r="V53" s="2" t="s">
        <v>33</v>
      </c>
      <c r="W53" s="2" t="s">
        <v>33</v>
      </c>
      <c r="X53" s="2" t="s">
        <v>33</v>
      </c>
      <c r="Y53" s="2" t="s">
        <v>20</v>
      </c>
      <c r="Z53" s="2" t="s">
        <v>20</v>
      </c>
      <c r="AA53" s="2" t="s">
        <v>33</v>
      </c>
      <c r="AB53" s="2" t="s">
        <v>33</v>
      </c>
      <c r="AC53" s="2" t="s">
        <v>33</v>
      </c>
      <c r="AD53" s="2" t="s">
        <v>33</v>
      </c>
      <c r="AE53" s="2" t="s">
        <v>33</v>
      </c>
      <c r="AF53" s="2" t="s">
        <v>20</v>
      </c>
      <c r="AG53" s="2" t="s">
        <v>20</v>
      </c>
      <c r="AH53" s="9"/>
      <c r="AI53" s="10">
        <f t="shared" si="4"/>
        <v>0</v>
      </c>
    </row>
    <row r="54" spans="2:37" x14ac:dyDescent="0.2">
      <c r="C54" t="s">
        <v>9</v>
      </c>
      <c r="D54" s="2" t="s">
        <v>20</v>
      </c>
      <c r="E54" s="2" t="s">
        <v>20</v>
      </c>
      <c r="F54">
        <v>8</v>
      </c>
      <c r="G54">
        <v>8</v>
      </c>
      <c r="H54">
        <v>8</v>
      </c>
      <c r="I54">
        <v>8</v>
      </c>
      <c r="J54">
        <v>8</v>
      </c>
      <c r="K54" s="2" t="s">
        <v>20</v>
      </c>
      <c r="L54" s="2" t="s">
        <v>20</v>
      </c>
      <c r="M54">
        <v>8</v>
      </c>
      <c r="N54">
        <v>8</v>
      </c>
      <c r="O54">
        <v>8</v>
      </c>
      <c r="P54">
        <v>8</v>
      </c>
      <c r="Q54">
        <v>8</v>
      </c>
      <c r="R54" s="2" t="s">
        <v>20</v>
      </c>
      <c r="S54" s="2" t="s">
        <v>20</v>
      </c>
      <c r="T54" s="2" t="s">
        <v>33</v>
      </c>
      <c r="U54" s="2" t="s">
        <v>33</v>
      </c>
      <c r="V54" s="2" t="s">
        <v>33</v>
      </c>
      <c r="W54" s="2" t="s">
        <v>33</v>
      </c>
      <c r="X54" s="2" t="s">
        <v>33</v>
      </c>
      <c r="Y54" s="2" t="s">
        <v>20</v>
      </c>
      <c r="Z54" s="2" t="s">
        <v>20</v>
      </c>
      <c r="AA54" s="2" t="s">
        <v>33</v>
      </c>
      <c r="AB54" s="2" t="s">
        <v>33</v>
      </c>
      <c r="AC54" s="2" t="s">
        <v>33</v>
      </c>
      <c r="AD54" s="2" t="s">
        <v>33</v>
      </c>
      <c r="AE54" s="2" t="s">
        <v>33</v>
      </c>
      <c r="AF54" s="2" t="s">
        <v>20</v>
      </c>
      <c r="AG54" s="2" t="s">
        <v>20</v>
      </c>
      <c r="AH54" s="9"/>
      <c r="AI54" s="10">
        <f t="shared" si="4"/>
        <v>80</v>
      </c>
    </row>
    <row r="55" spans="2:37" s="1" customFormat="1" x14ac:dyDescent="0.2">
      <c r="AI55" s="11">
        <f>SUM(AI46:AI54)</f>
        <v>80</v>
      </c>
      <c r="AK55" s="1">
        <f>SUM(AI55,AJ46:AK46)</f>
        <v>160</v>
      </c>
    </row>
    <row r="56" spans="2:37" x14ac:dyDescent="0.2">
      <c r="I56" s="2"/>
      <c r="J56" s="2"/>
      <c r="P56" s="2"/>
      <c r="Q56" s="2"/>
      <c r="W56" s="2"/>
      <c r="X56" s="2"/>
      <c r="Y56" s="2"/>
      <c r="Z56" s="2"/>
      <c r="AA56" s="2"/>
      <c r="AB56" s="4"/>
      <c r="AC56" s="4"/>
      <c r="AD56" s="2"/>
      <c r="AE56" s="2"/>
      <c r="AF56" s="2"/>
      <c r="AG56" s="2"/>
      <c r="AH56" s="2"/>
    </row>
    <row r="57" spans="2:37" x14ac:dyDescent="0.2">
      <c r="I57" s="2"/>
      <c r="J57" s="2"/>
      <c r="P57" s="2"/>
      <c r="Q57" s="2"/>
      <c r="W57" s="2"/>
      <c r="X57" s="2"/>
      <c r="Y57" s="2"/>
      <c r="Z57" s="2"/>
      <c r="AA57" s="2"/>
      <c r="AB57" s="4"/>
      <c r="AC57" s="4"/>
      <c r="AD57" s="2"/>
      <c r="AE57" s="2"/>
      <c r="AF57" s="2"/>
      <c r="AG57" s="2"/>
      <c r="AH57" s="2"/>
    </row>
    <row r="58" spans="2:37" x14ac:dyDescent="0.2">
      <c r="I58" s="2"/>
      <c r="J58" s="2"/>
      <c r="P58" s="2"/>
      <c r="Q58" s="2"/>
      <c r="W58" s="2"/>
      <c r="X58" s="2"/>
      <c r="Y58" s="2"/>
      <c r="Z58" s="2"/>
      <c r="AA58" s="2"/>
      <c r="AB58" s="4"/>
      <c r="AC58" s="4"/>
      <c r="AD58" s="2"/>
      <c r="AE58" s="2"/>
      <c r="AF58" s="2"/>
      <c r="AG58" s="2"/>
      <c r="AH58" s="2"/>
    </row>
    <row r="59" spans="2:37" x14ac:dyDescent="0.2">
      <c r="I59" s="2"/>
      <c r="J59" s="2"/>
      <c r="P59" s="2"/>
      <c r="Q59" s="2"/>
      <c r="W59" s="2"/>
      <c r="X59" s="2"/>
      <c r="Y59" s="2"/>
      <c r="Z59" s="2"/>
      <c r="AA59" s="2"/>
      <c r="AB59" s="4"/>
      <c r="AC59" s="4"/>
      <c r="AD59" s="2"/>
      <c r="AE59" s="2"/>
      <c r="AF59" s="2"/>
      <c r="AG59" s="2"/>
      <c r="AH59" s="2"/>
    </row>
    <row r="60" spans="2:37" x14ac:dyDescent="0.2">
      <c r="I60" s="2"/>
      <c r="J60" s="2"/>
      <c r="P60" s="2"/>
      <c r="Q60" s="2"/>
      <c r="W60" s="2"/>
      <c r="X60" s="2"/>
      <c r="Y60" s="2"/>
      <c r="Z60" s="2"/>
      <c r="AA60" s="2"/>
      <c r="AB60" s="4"/>
      <c r="AC60" s="4"/>
      <c r="AD60" s="2"/>
      <c r="AE60" s="2"/>
      <c r="AF60" s="2"/>
      <c r="AG60" s="2"/>
      <c r="AH60" s="2"/>
    </row>
    <row r="61" spans="2:37" x14ac:dyDescent="0.2">
      <c r="I61" s="2"/>
      <c r="J61" s="2"/>
      <c r="P61" s="2"/>
      <c r="Q61" s="2"/>
      <c r="W61" s="2"/>
      <c r="X61" s="2"/>
      <c r="Y61" s="2"/>
      <c r="Z61" s="2"/>
      <c r="AA61" s="2"/>
      <c r="AB61" s="4"/>
      <c r="AC61" s="4"/>
      <c r="AD61" s="2"/>
      <c r="AE61" s="2"/>
      <c r="AF61" s="2"/>
      <c r="AG61" s="2"/>
      <c r="AH61" s="2"/>
    </row>
    <row r="62" spans="2:37" x14ac:dyDescent="0.2">
      <c r="I62" s="2"/>
      <c r="J62" s="2"/>
      <c r="P62" s="2"/>
      <c r="Q62" s="2"/>
      <c r="W62" s="2"/>
      <c r="X62" s="2"/>
      <c r="Y62" s="2"/>
      <c r="Z62" s="2"/>
      <c r="AA62" s="2"/>
      <c r="AB62" s="4"/>
      <c r="AC62" s="4"/>
      <c r="AD62" s="2"/>
      <c r="AE62" s="2"/>
      <c r="AF62" s="2"/>
      <c r="AG62" s="2"/>
      <c r="AH62" s="2"/>
    </row>
    <row r="63" spans="2:37" x14ac:dyDescent="0.2">
      <c r="B63" s="6"/>
      <c r="I63" s="2"/>
      <c r="J63" s="2"/>
      <c r="P63" s="2"/>
      <c r="Q63" s="2"/>
      <c r="W63" s="2"/>
      <c r="X63" s="2"/>
      <c r="Y63" s="2"/>
      <c r="Z63" s="2"/>
      <c r="AA63" s="2"/>
      <c r="AB63" s="4"/>
      <c r="AC63" s="4"/>
      <c r="AD63" s="2"/>
      <c r="AE63" s="2"/>
      <c r="AF63" s="2"/>
      <c r="AG63" s="2"/>
      <c r="AH63" s="2"/>
    </row>
    <row r="64" spans="2:37" x14ac:dyDescent="0.2">
      <c r="I64" s="2"/>
      <c r="J64" s="2"/>
      <c r="P64" s="2"/>
      <c r="Q64" s="2"/>
      <c r="W64" s="2"/>
      <c r="X64" s="2"/>
      <c r="Y64" s="2"/>
      <c r="Z64" s="2"/>
      <c r="AA64" s="2"/>
      <c r="AB64" s="4"/>
      <c r="AC64" s="4"/>
      <c r="AD64" s="2"/>
      <c r="AE64" s="2"/>
      <c r="AF64" s="2"/>
      <c r="AG64" s="2"/>
      <c r="AH64" s="2"/>
    </row>
    <row r="65" spans="35:35" s="1" customFormat="1" x14ac:dyDescent="0.2">
      <c r="AI65" s="11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5B1F5-5303-46C9-A3EF-95859ADA04CA}">
  <dimension ref="A1:AK66"/>
  <sheetViews>
    <sheetView topLeftCell="A27" zoomScale="140" zoomScaleNormal="140" workbookViewId="0">
      <selection activeCell="Z53" sqref="Z53"/>
    </sheetView>
  </sheetViews>
  <sheetFormatPr baseColWidth="10" defaultRowHeight="15" x14ac:dyDescent="0.2"/>
  <cols>
    <col min="1" max="2" width="14.83203125" customWidth="1"/>
    <col min="3" max="3" width="18.1640625" customWidth="1"/>
    <col min="4" max="34" width="7.5" customWidth="1"/>
    <col min="35" max="35" width="15.33203125" style="10" customWidth="1"/>
    <col min="36" max="36" width="15.33203125" customWidth="1"/>
  </cols>
  <sheetData>
    <row r="1" spans="1:37" x14ac:dyDescent="0.2">
      <c r="A1" t="s">
        <v>3</v>
      </c>
      <c r="B1" s="8">
        <v>2025</v>
      </c>
      <c r="F1" t="s">
        <v>21</v>
      </c>
      <c r="AA1" s="12" t="s">
        <v>63</v>
      </c>
    </row>
    <row r="2" spans="1:37" x14ac:dyDescent="0.2">
      <c r="A2" t="s">
        <v>2</v>
      </c>
      <c r="B2" s="6" t="s">
        <v>17</v>
      </c>
      <c r="C2" s="7" t="s">
        <v>48</v>
      </c>
      <c r="F2" t="s">
        <v>22</v>
      </c>
      <c r="AA2" s="12" t="s">
        <v>64</v>
      </c>
    </row>
    <row r="3" spans="1:37" x14ac:dyDescent="0.2">
      <c r="F3" t="s">
        <v>23</v>
      </c>
    </row>
    <row r="4" spans="1:37" x14ac:dyDescent="0.2">
      <c r="F4" t="s">
        <v>24</v>
      </c>
    </row>
    <row r="5" spans="1:37" x14ac:dyDescent="0.2">
      <c r="F5" t="s">
        <v>26</v>
      </c>
    </row>
    <row r="7" spans="1:37" x14ac:dyDescent="0.2">
      <c r="D7" s="1" t="s">
        <v>4</v>
      </c>
    </row>
    <row r="8" spans="1:37" s="3" customFormat="1" x14ac:dyDescent="0.2">
      <c r="A8" s="3" t="s">
        <v>0</v>
      </c>
      <c r="B8" s="3" t="s">
        <v>0</v>
      </c>
      <c r="C8" s="3" t="s">
        <v>1</v>
      </c>
      <c r="D8" s="3">
        <v>1</v>
      </c>
      <c r="E8" s="3">
        <v>2</v>
      </c>
      <c r="F8" s="3">
        <v>3</v>
      </c>
      <c r="G8" s="3">
        <v>4</v>
      </c>
      <c r="H8" s="3">
        <v>5</v>
      </c>
      <c r="I8" s="3">
        <v>6</v>
      </c>
      <c r="J8" s="3">
        <v>7</v>
      </c>
      <c r="K8" s="3">
        <v>8</v>
      </c>
      <c r="L8" s="3">
        <v>9</v>
      </c>
      <c r="M8" s="3">
        <v>10</v>
      </c>
      <c r="N8" s="3">
        <v>11</v>
      </c>
      <c r="O8" s="3">
        <v>12</v>
      </c>
      <c r="P8" s="3">
        <v>13</v>
      </c>
      <c r="Q8" s="3">
        <v>14</v>
      </c>
      <c r="R8" s="3">
        <v>15</v>
      </c>
      <c r="S8" s="3">
        <v>16</v>
      </c>
      <c r="T8" s="3">
        <v>17</v>
      </c>
      <c r="U8" s="3">
        <v>18</v>
      </c>
      <c r="V8" s="3">
        <v>19</v>
      </c>
      <c r="W8" s="3">
        <v>20</v>
      </c>
      <c r="X8" s="3">
        <v>21</v>
      </c>
      <c r="Y8" s="3">
        <v>22</v>
      </c>
      <c r="Z8" s="3">
        <v>23</v>
      </c>
      <c r="AA8" s="3">
        <v>24</v>
      </c>
      <c r="AB8" s="3">
        <v>25</v>
      </c>
      <c r="AC8" s="3">
        <v>26</v>
      </c>
      <c r="AD8" s="3">
        <v>27</v>
      </c>
      <c r="AE8" s="3">
        <v>28</v>
      </c>
      <c r="AF8" s="3">
        <v>29</v>
      </c>
      <c r="AG8" s="3">
        <v>30</v>
      </c>
      <c r="AH8" s="3">
        <v>31</v>
      </c>
      <c r="AI8" s="11" t="s">
        <v>34</v>
      </c>
      <c r="AJ8" s="3" t="s">
        <v>36</v>
      </c>
      <c r="AK8" s="3" t="s">
        <v>37</v>
      </c>
    </row>
    <row r="9" spans="1:37" x14ac:dyDescent="0.2">
      <c r="B9" t="s">
        <v>41</v>
      </c>
      <c r="C9" t="s">
        <v>6</v>
      </c>
      <c r="D9" s="2"/>
      <c r="E9" s="2"/>
      <c r="F9" s="2"/>
      <c r="G9" s="2"/>
      <c r="H9" s="2" t="s">
        <v>20</v>
      </c>
      <c r="I9" s="2" t="s">
        <v>20</v>
      </c>
      <c r="J9" s="2"/>
      <c r="K9" s="2"/>
      <c r="L9" s="2"/>
      <c r="M9" s="2"/>
      <c r="N9" s="2"/>
      <c r="O9" s="2" t="s">
        <v>20</v>
      </c>
      <c r="P9" s="2" t="s">
        <v>20</v>
      </c>
      <c r="Q9" s="2"/>
      <c r="R9" s="2"/>
      <c r="S9" s="2"/>
      <c r="T9" s="2"/>
      <c r="U9" s="2"/>
      <c r="V9" s="2" t="s">
        <v>20</v>
      </c>
      <c r="W9" s="2" t="s">
        <v>20</v>
      </c>
      <c r="X9" s="2"/>
      <c r="Y9" s="2"/>
      <c r="Z9" s="2"/>
      <c r="AA9" s="2"/>
      <c r="AB9" s="2"/>
      <c r="AC9" s="2" t="s">
        <v>20</v>
      </c>
      <c r="AD9" s="2" t="s">
        <v>20</v>
      </c>
      <c r="AE9" s="2"/>
      <c r="AF9" s="2"/>
      <c r="AG9" s="2"/>
      <c r="AH9" s="2"/>
      <c r="AI9" s="10">
        <f>SUM(D9:G9,J9:N9,Q9:U9,X9:AB9,AE9:AH9)</f>
        <v>0</v>
      </c>
      <c r="AJ9" s="2">
        <v>0</v>
      </c>
      <c r="AK9" s="2">
        <v>0</v>
      </c>
    </row>
    <row r="10" spans="1:37" x14ac:dyDescent="0.2">
      <c r="C10" t="s">
        <v>10</v>
      </c>
      <c r="D10" s="2"/>
      <c r="E10" s="2"/>
      <c r="F10" s="2"/>
      <c r="G10" s="2"/>
      <c r="H10" s="2" t="s">
        <v>20</v>
      </c>
      <c r="I10" s="2" t="s">
        <v>20</v>
      </c>
      <c r="J10" s="2"/>
      <c r="K10" s="2"/>
      <c r="L10" s="2"/>
      <c r="M10" s="2"/>
      <c r="N10" s="2"/>
      <c r="O10" s="2" t="s">
        <v>20</v>
      </c>
      <c r="P10" s="2" t="s">
        <v>20</v>
      </c>
      <c r="Q10" s="2"/>
      <c r="R10" s="2"/>
      <c r="S10" s="2"/>
      <c r="T10" s="2"/>
      <c r="U10" s="2"/>
      <c r="V10" s="2" t="s">
        <v>20</v>
      </c>
      <c r="W10" s="2" t="s">
        <v>20</v>
      </c>
      <c r="X10" s="2"/>
      <c r="Y10" s="2"/>
      <c r="Z10" s="2"/>
      <c r="AA10" s="2"/>
      <c r="AB10" s="2">
        <v>8</v>
      </c>
      <c r="AC10" s="2" t="s">
        <v>20</v>
      </c>
      <c r="AD10" s="2" t="s">
        <v>20</v>
      </c>
      <c r="AE10" s="2">
        <v>8</v>
      </c>
      <c r="AF10" s="2">
        <v>8</v>
      </c>
      <c r="AG10" s="2">
        <v>8</v>
      </c>
      <c r="AH10" s="2">
        <v>8</v>
      </c>
      <c r="AI10" s="10">
        <f t="shared" ref="AI10:AI16" si="0">SUM(D10:G10,J10:N10,Q10:U10,X10:AB10,AE10:AH10)</f>
        <v>40</v>
      </c>
      <c r="AJ10" s="2"/>
      <c r="AK10" s="2"/>
    </row>
    <row r="11" spans="1:37" x14ac:dyDescent="0.2">
      <c r="B11" t="s">
        <v>42</v>
      </c>
      <c r="C11" t="s">
        <v>8</v>
      </c>
      <c r="D11" s="2"/>
      <c r="E11" s="2"/>
      <c r="F11" s="2"/>
      <c r="G11" s="2"/>
      <c r="H11" s="2" t="s">
        <v>20</v>
      </c>
      <c r="I11" s="2" t="s">
        <v>20</v>
      </c>
      <c r="J11" s="2"/>
      <c r="K11" s="2"/>
      <c r="L11" s="2"/>
      <c r="M11" s="2"/>
      <c r="N11" s="2"/>
      <c r="O11" s="2" t="s">
        <v>20</v>
      </c>
      <c r="P11" s="2" t="s">
        <v>20</v>
      </c>
      <c r="Q11" s="2"/>
      <c r="R11" s="2"/>
      <c r="S11" s="2"/>
      <c r="T11" s="2"/>
      <c r="U11" s="2"/>
      <c r="V11" s="2" t="s">
        <v>20</v>
      </c>
      <c r="W11" s="2" t="s">
        <v>20</v>
      </c>
      <c r="X11" s="2"/>
      <c r="Y11" s="2"/>
      <c r="Z11" s="2"/>
      <c r="AA11" s="2"/>
      <c r="AB11" s="2"/>
      <c r="AC11" s="2" t="s">
        <v>20</v>
      </c>
      <c r="AD11" s="2" t="s">
        <v>20</v>
      </c>
      <c r="AE11" s="2"/>
      <c r="AF11" s="2"/>
      <c r="AG11" s="2"/>
      <c r="AH11" s="2"/>
      <c r="AI11" s="10">
        <f t="shared" si="0"/>
        <v>0</v>
      </c>
      <c r="AJ11" s="2"/>
      <c r="AK11" s="2"/>
    </row>
    <row r="12" spans="1:37" x14ac:dyDescent="0.2">
      <c r="C12" t="s">
        <v>13</v>
      </c>
      <c r="D12" s="2"/>
      <c r="E12" s="2"/>
      <c r="F12" s="2"/>
      <c r="G12" s="2"/>
      <c r="H12" s="2" t="s">
        <v>20</v>
      </c>
      <c r="I12" s="2" t="s">
        <v>20</v>
      </c>
      <c r="J12" s="2">
        <v>8</v>
      </c>
      <c r="K12" s="2">
        <v>8</v>
      </c>
      <c r="L12" s="2">
        <v>8</v>
      </c>
      <c r="M12" s="2">
        <v>8</v>
      </c>
      <c r="N12" s="2">
        <v>8</v>
      </c>
      <c r="O12" s="2" t="s">
        <v>20</v>
      </c>
      <c r="P12" s="2" t="s">
        <v>20</v>
      </c>
      <c r="Q12" s="2">
        <v>8</v>
      </c>
      <c r="R12" s="2">
        <v>8</v>
      </c>
      <c r="S12" s="2">
        <v>8</v>
      </c>
      <c r="T12" s="2">
        <v>8</v>
      </c>
      <c r="U12" s="2">
        <v>8</v>
      </c>
      <c r="V12" s="2" t="s">
        <v>20</v>
      </c>
      <c r="W12" s="2" t="s">
        <v>20</v>
      </c>
      <c r="X12" s="2"/>
      <c r="Y12" s="2"/>
      <c r="Z12" s="2"/>
      <c r="AA12" s="2"/>
      <c r="AB12" s="2"/>
      <c r="AC12" s="2" t="s">
        <v>20</v>
      </c>
      <c r="AD12" s="2" t="s">
        <v>20</v>
      </c>
      <c r="AE12" s="2"/>
      <c r="AF12" s="2"/>
      <c r="AG12" s="2"/>
      <c r="AH12" s="2"/>
      <c r="AI12" s="10">
        <f t="shared" si="0"/>
        <v>80</v>
      </c>
      <c r="AJ12" s="2"/>
      <c r="AK12" s="2"/>
    </row>
    <row r="13" spans="1:37" x14ac:dyDescent="0.2">
      <c r="B13" s="6">
        <v>184</v>
      </c>
      <c r="C13" t="s">
        <v>11</v>
      </c>
      <c r="D13" s="2"/>
      <c r="E13" s="2"/>
      <c r="F13" s="2"/>
      <c r="G13" s="2"/>
      <c r="H13" s="2" t="s">
        <v>20</v>
      </c>
      <c r="I13" s="2" t="s">
        <v>20</v>
      </c>
      <c r="J13" s="2"/>
      <c r="K13" s="2"/>
      <c r="L13" s="2"/>
      <c r="M13" s="2"/>
      <c r="N13" s="2"/>
      <c r="O13" s="2" t="s">
        <v>20</v>
      </c>
      <c r="P13" s="2" t="s">
        <v>20</v>
      </c>
      <c r="Q13" s="2"/>
      <c r="R13" s="2"/>
      <c r="S13" s="2"/>
      <c r="T13" s="2"/>
      <c r="U13" s="2"/>
      <c r="V13" s="2" t="s">
        <v>20</v>
      </c>
      <c r="W13" s="2" t="s">
        <v>20</v>
      </c>
      <c r="X13" s="2"/>
      <c r="Y13" s="2"/>
      <c r="Z13" s="2"/>
      <c r="AA13" s="2"/>
      <c r="AB13" s="2"/>
      <c r="AC13" s="2" t="s">
        <v>20</v>
      </c>
      <c r="AD13" s="2" t="s">
        <v>20</v>
      </c>
      <c r="AE13" s="2"/>
      <c r="AF13" s="2"/>
      <c r="AG13" s="2"/>
      <c r="AH13" s="2"/>
      <c r="AI13" s="10">
        <f t="shared" si="0"/>
        <v>0</v>
      </c>
      <c r="AJ13" s="2"/>
      <c r="AK13" s="2"/>
    </row>
    <row r="14" spans="1:37" x14ac:dyDescent="0.2">
      <c r="C14" t="s">
        <v>7</v>
      </c>
      <c r="D14" s="2">
        <v>8</v>
      </c>
      <c r="E14" s="2">
        <v>8</v>
      </c>
      <c r="F14" s="2">
        <v>8</v>
      </c>
      <c r="G14" s="2">
        <v>8</v>
      </c>
      <c r="H14" s="2" t="s">
        <v>20</v>
      </c>
      <c r="I14" s="2" t="s">
        <v>20</v>
      </c>
      <c r="J14" s="2"/>
      <c r="K14" s="2"/>
      <c r="L14" s="2"/>
      <c r="M14" s="2"/>
      <c r="N14" s="2"/>
      <c r="O14" s="2" t="s">
        <v>20</v>
      </c>
      <c r="P14" s="2" t="s">
        <v>20</v>
      </c>
      <c r="Q14" s="2"/>
      <c r="R14" s="2"/>
      <c r="S14" s="2"/>
      <c r="T14" s="2"/>
      <c r="U14" s="2"/>
      <c r="V14" s="2" t="s">
        <v>20</v>
      </c>
      <c r="W14" s="2" t="s">
        <v>20</v>
      </c>
      <c r="X14" s="2">
        <v>8</v>
      </c>
      <c r="Y14" s="2">
        <v>8</v>
      </c>
      <c r="Z14" s="2">
        <v>8</v>
      </c>
      <c r="AA14" s="2">
        <v>8</v>
      </c>
      <c r="AB14" s="2"/>
      <c r="AC14" s="2" t="s">
        <v>20</v>
      </c>
      <c r="AD14" s="2" t="s">
        <v>20</v>
      </c>
      <c r="AE14" s="2"/>
      <c r="AF14" s="2"/>
      <c r="AG14" s="2"/>
      <c r="AH14" s="2"/>
      <c r="AI14" s="10">
        <f t="shared" si="0"/>
        <v>64</v>
      </c>
      <c r="AJ14" s="2"/>
      <c r="AK14" s="2"/>
    </row>
    <row r="15" spans="1:37" x14ac:dyDescent="0.2">
      <c r="C15" t="s">
        <v>12</v>
      </c>
      <c r="D15" s="2"/>
      <c r="E15" s="2"/>
      <c r="F15" s="2"/>
      <c r="G15" s="2"/>
      <c r="H15" s="2" t="s">
        <v>20</v>
      </c>
      <c r="I15" s="2" t="s">
        <v>20</v>
      </c>
      <c r="J15" s="2"/>
      <c r="K15" s="2"/>
      <c r="L15" s="2"/>
      <c r="M15" s="2"/>
      <c r="N15" s="2"/>
      <c r="O15" s="2" t="s">
        <v>20</v>
      </c>
      <c r="P15" s="2" t="s">
        <v>20</v>
      </c>
      <c r="Q15" s="2"/>
      <c r="R15" s="2"/>
      <c r="S15" s="2"/>
      <c r="T15" s="2"/>
      <c r="U15" s="2"/>
      <c r="V15" s="2" t="s">
        <v>20</v>
      </c>
      <c r="W15" s="2" t="s">
        <v>20</v>
      </c>
      <c r="X15" s="2"/>
      <c r="Y15" s="2"/>
      <c r="Z15" s="2"/>
      <c r="AA15" s="2"/>
      <c r="AB15" s="2"/>
      <c r="AC15" s="2" t="s">
        <v>20</v>
      </c>
      <c r="AD15" s="2" t="s">
        <v>20</v>
      </c>
      <c r="AE15" s="2"/>
      <c r="AF15" s="2"/>
      <c r="AG15" s="2"/>
      <c r="AH15" s="2"/>
      <c r="AI15" s="10">
        <f t="shared" si="0"/>
        <v>0</v>
      </c>
      <c r="AJ15" s="2"/>
      <c r="AK15" s="2"/>
    </row>
    <row r="16" spans="1:37" x14ac:dyDescent="0.2">
      <c r="C16" t="s">
        <v>9</v>
      </c>
      <c r="D16" s="2"/>
      <c r="E16" s="2"/>
      <c r="F16" s="2"/>
      <c r="G16" s="2"/>
      <c r="H16" s="2" t="s">
        <v>20</v>
      </c>
      <c r="I16" s="2" t="s">
        <v>20</v>
      </c>
      <c r="J16" s="2"/>
      <c r="K16" s="2"/>
      <c r="L16" s="2"/>
      <c r="M16" s="2"/>
      <c r="N16" s="2"/>
      <c r="O16" s="2" t="s">
        <v>20</v>
      </c>
      <c r="P16" s="2" t="s">
        <v>20</v>
      </c>
      <c r="Q16" s="2"/>
      <c r="R16" s="2"/>
      <c r="S16" s="2"/>
      <c r="T16" s="2"/>
      <c r="U16" s="2"/>
      <c r="V16" s="2" t="s">
        <v>20</v>
      </c>
      <c r="W16" s="2" t="s">
        <v>20</v>
      </c>
      <c r="X16" s="2"/>
      <c r="Y16" s="2"/>
      <c r="Z16" s="2"/>
      <c r="AA16" s="2"/>
      <c r="AB16" s="2"/>
      <c r="AC16" s="2" t="s">
        <v>20</v>
      </c>
      <c r="AD16" s="2" t="s">
        <v>20</v>
      </c>
      <c r="AE16" s="2"/>
      <c r="AF16" s="2"/>
      <c r="AG16" s="2"/>
      <c r="AH16" s="2"/>
      <c r="AI16" s="10">
        <f t="shared" si="0"/>
        <v>0</v>
      </c>
      <c r="AJ16" s="2"/>
      <c r="AK16" s="2"/>
    </row>
    <row r="17" spans="2:37" s="3" customFormat="1" x14ac:dyDescent="0.2">
      <c r="AI17" s="11">
        <f>SUM(AI9:AI16)</f>
        <v>184</v>
      </c>
      <c r="AK17" s="3">
        <f>SUM(AI17,AJ9:AK9)</f>
        <v>184</v>
      </c>
    </row>
    <row r="18" spans="2:37" x14ac:dyDescent="0.2">
      <c r="B18" t="s">
        <v>5</v>
      </c>
      <c r="C18" t="s">
        <v>6</v>
      </c>
      <c r="E18" s="2" t="s">
        <v>20</v>
      </c>
      <c r="F18" s="2" t="s">
        <v>20</v>
      </c>
      <c r="L18" s="2" t="s">
        <v>20</v>
      </c>
      <c r="M18" s="2" t="s">
        <v>20</v>
      </c>
      <c r="S18" s="2" t="s">
        <v>20</v>
      </c>
      <c r="T18" s="2" t="s">
        <v>20</v>
      </c>
      <c r="Z18" s="2" t="s">
        <v>20</v>
      </c>
      <c r="AA18" s="2" t="s">
        <v>20</v>
      </c>
      <c r="AG18" s="2" t="s">
        <v>20</v>
      </c>
      <c r="AH18" s="2" t="s">
        <v>20</v>
      </c>
      <c r="AI18" s="10">
        <f>SUM(D18,G18:K18,N18:R18,U18:Y18,AB18:AF18)</f>
        <v>0</v>
      </c>
      <c r="AJ18">
        <v>0</v>
      </c>
      <c r="AK18">
        <v>0</v>
      </c>
    </row>
    <row r="19" spans="2:37" x14ac:dyDescent="0.2">
      <c r="C19" t="s">
        <v>10</v>
      </c>
      <c r="E19" s="2" t="s">
        <v>20</v>
      </c>
      <c r="F19" s="2" t="s">
        <v>20</v>
      </c>
      <c r="L19" s="2" t="s">
        <v>20</v>
      </c>
      <c r="M19" s="2" t="s">
        <v>20</v>
      </c>
      <c r="N19">
        <v>8</v>
      </c>
      <c r="O19">
        <v>8</v>
      </c>
      <c r="P19">
        <v>8</v>
      </c>
      <c r="Q19">
        <v>8</v>
      </c>
      <c r="R19">
        <v>8</v>
      </c>
      <c r="S19" s="2" t="s">
        <v>20</v>
      </c>
      <c r="T19" s="2" t="s">
        <v>20</v>
      </c>
      <c r="Z19" s="2" t="s">
        <v>20</v>
      </c>
      <c r="AA19" s="2" t="s">
        <v>20</v>
      </c>
      <c r="AG19" s="2" t="s">
        <v>20</v>
      </c>
      <c r="AH19" s="2" t="s">
        <v>20</v>
      </c>
      <c r="AI19" s="10">
        <f t="shared" ref="AI19:AI25" si="1">SUM(D19,G19:K19,N19:R19,U19:Y19,AB19:AF19)</f>
        <v>40</v>
      </c>
    </row>
    <row r="20" spans="2:37" x14ac:dyDescent="0.2">
      <c r="B20" t="s">
        <v>28</v>
      </c>
      <c r="C20" t="s">
        <v>8</v>
      </c>
      <c r="E20" s="2" t="s">
        <v>20</v>
      </c>
      <c r="F20" s="2" t="s">
        <v>20</v>
      </c>
      <c r="L20" s="2" t="s">
        <v>20</v>
      </c>
      <c r="M20" s="2" t="s">
        <v>20</v>
      </c>
      <c r="S20" s="2" t="s">
        <v>20</v>
      </c>
      <c r="T20" s="2" t="s">
        <v>20</v>
      </c>
      <c r="Z20" s="2" t="s">
        <v>20</v>
      </c>
      <c r="AA20" s="2" t="s">
        <v>20</v>
      </c>
      <c r="AG20" s="2" t="s">
        <v>20</v>
      </c>
      <c r="AH20" s="2" t="s">
        <v>20</v>
      </c>
      <c r="AI20" s="10">
        <f t="shared" si="1"/>
        <v>0</v>
      </c>
    </row>
    <row r="21" spans="2:37" x14ac:dyDescent="0.2">
      <c r="C21" t="s">
        <v>13</v>
      </c>
      <c r="E21" s="2" t="s">
        <v>20</v>
      </c>
      <c r="F21" s="2" t="s">
        <v>20</v>
      </c>
      <c r="L21" s="2" t="s">
        <v>20</v>
      </c>
      <c r="M21" s="2" t="s">
        <v>20</v>
      </c>
      <c r="S21" s="2" t="s">
        <v>20</v>
      </c>
      <c r="T21" s="2" t="s">
        <v>20</v>
      </c>
      <c r="U21">
        <v>8</v>
      </c>
      <c r="V21">
        <v>8</v>
      </c>
      <c r="W21">
        <v>8</v>
      </c>
      <c r="X21">
        <v>8</v>
      </c>
      <c r="Y21">
        <v>8</v>
      </c>
      <c r="Z21" s="2" t="s">
        <v>20</v>
      </c>
      <c r="AA21" s="2" t="s">
        <v>20</v>
      </c>
      <c r="AB21">
        <v>8</v>
      </c>
      <c r="AC21">
        <v>8</v>
      </c>
      <c r="AD21">
        <v>8</v>
      </c>
      <c r="AE21">
        <v>8</v>
      </c>
      <c r="AF21">
        <v>8</v>
      </c>
      <c r="AG21" s="2" t="s">
        <v>20</v>
      </c>
      <c r="AH21" s="2" t="s">
        <v>20</v>
      </c>
      <c r="AI21" s="10">
        <f t="shared" si="1"/>
        <v>80</v>
      </c>
    </row>
    <row r="22" spans="2:37" x14ac:dyDescent="0.2">
      <c r="B22" s="6">
        <v>168</v>
      </c>
      <c r="C22" t="s">
        <v>11</v>
      </c>
      <c r="E22" s="2" t="s">
        <v>20</v>
      </c>
      <c r="F22" s="2" t="s">
        <v>20</v>
      </c>
      <c r="L22" s="2" t="s">
        <v>20</v>
      </c>
      <c r="M22" s="2" t="s">
        <v>20</v>
      </c>
      <c r="S22" s="2" t="s">
        <v>20</v>
      </c>
      <c r="T22" s="2" t="s">
        <v>20</v>
      </c>
      <c r="Z22" s="2" t="s">
        <v>20</v>
      </c>
      <c r="AA22" s="2" t="s">
        <v>20</v>
      </c>
      <c r="AG22" s="2" t="s">
        <v>20</v>
      </c>
      <c r="AH22" s="2" t="s">
        <v>20</v>
      </c>
      <c r="AI22" s="10">
        <f t="shared" si="1"/>
        <v>0</v>
      </c>
    </row>
    <row r="23" spans="2:37" x14ac:dyDescent="0.2">
      <c r="C23" t="s">
        <v>7</v>
      </c>
      <c r="D23">
        <v>8</v>
      </c>
      <c r="E23" s="2" t="s">
        <v>20</v>
      </c>
      <c r="F23" s="2" t="s">
        <v>20</v>
      </c>
      <c r="G23">
        <v>8</v>
      </c>
      <c r="H23">
        <v>8</v>
      </c>
      <c r="J23">
        <v>8</v>
      </c>
      <c r="K23">
        <v>8</v>
      </c>
      <c r="L23" s="2" t="s">
        <v>20</v>
      </c>
      <c r="M23" s="2" t="s">
        <v>20</v>
      </c>
      <c r="S23" s="2" t="s">
        <v>20</v>
      </c>
      <c r="T23" s="2" t="s">
        <v>20</v>
      </c>
      <c r="Z23" s="2" t="s">
        <v>20</v>
      </c>
      <c r="AA23" s="2" t="s">
        <v>20</v>
      </c>
      <c r="AG23" s="2" t="s">
        <v>20</v>
      </c>
      <c r="AH23" s="2" t="s">
        <v>20</v>
      </c>
      <c r="AI23" s="10">
        <f t="shared" si="1"/>
        <v>40</v>
      </c>
    </row>
    <row r="24" spans="2:37" x14ac:dyDescent="0.2">
      <c r="C24" t="s">
        <v>12</v>
      </c>
      <c r="E24" s="2" t="s">
        <v>20</v>
      </c>
      <c r="F24" s="2" t="s">
        <v>20</v>
      </c>
      <c r="L24" s="2" t="s">
        <v>20</v>
      </c>
      <c r="M24" s="2" t="s">
        <v>20</v>
      </c>
      <c r="S24" s="2" t="s">
        <v>20</v>
      </c>
      <c r="T24" s="2" t="s">
        <v>20</v>
      </c>
      <c r="Z24" s="2" t="s">
        <v>20</v>
      </c>
      <c r="AA24" s="2" t="s">
        <v>20</v>
      </c>
      <c r="AG24" s="2" t="s">
        <v>20</v>
      </c>
      <c r="AH24" s="2" t="s">
        <v>20</v>
      </c>
      <c r="AI24" s="10">
        <f t="shared" si="1"/>
        <v>0</v>
      </c>
    </row>
    <row r="25" spans="2:37" x14ac:dyDescent="0.2">
      <c r="C25" t="s">
        <v>9</v>
      </c>
      <c r="E25" s="2" t="s">
        <v>20</v>
      </c>
      <c r="F25" s="2" t="s">
        <v>20</v>
      </c>
      <c r="L25" s="2" t="s">
        <v>20</v>
      </c>
      <c r="M25" s="2" t="s">
        <v>20</v>
      </c>
      <c r="S25" s="2" t="s">
        <v>20</v>
      </c>
      <c r="T25" s="2" t="s">
        <v>20</v>
      </c>
      <c r="Z25" s="2" t="s">
        <v>20</v>
      </c>
      <c r="AA25" s="2" t="s">
        <v>20</v>
      </c>
      <c r="AG25" s="2" t="s">
        <v>20</v>
      </c>
      <c r="AH25" s="2" t="s">
        <v>20</v>
      </c>
      <c r="AI25" s="10">
        <f t="shared" si="1"/>
        <v>0</v>
      </c>
    </row>
    <row r="26" spans="2:37" s="1" customFormat="1" x14ac:dyDescent="0.2">
      <c r="AI26" s="11">
        <f>SUM(AI18:AI25)</f>
        <v>160</v>
      </c>
      <c r="AK26" s="1">
        <f>SUM(AI26,AJ18:AK18)</f>
        <v>160</v>
      </c>
    </row>
    <row r="27" spans="2:37" x14ac:dyDescent="0.2">
      <c r="B27" t="s">
        <v>14</v>
      </c>
      <c r="C27" t="s">
        <v>6</v>
      </c>
      <c r="I27" s="2" t="s">
        <v>20</v>
      </c>
      <c r="J27" s="2" t="s">
        <v>20</v>
      </c>
      <c r="P27" s="2" t="s">
        <v>20</v>
      </c>
      <c r="Q27" s="2" t="s">
        <v>20</v>
      </c>
      <c r="W27" s="2" t="s">
        <v>20</v>
      </c>
      <c r="X27" s="2" t="s">
        <v>20</v>
      </c>
      <c r="AD27" s="2" t="s">
        <v>20</v>
      </c>
      <c r="AE27" s="2" t="s">
        <v>20</v>
      </c>
      <c r="AG27" s="2"/>
      <c r="AH27" s="9"/>
      <c r="AI27" s="10">
        <f>SUM(D27:H27,K27:O27,R27:V27,Y27:AC27,AF27:AG27)</f>
        <v>0</v>
      </c>
      <c r="AJ27">
        <v>0</v>
      </c>
      <c r="AK27">
        <v>0</v>
      </c>
    </row>
    <row r="28" spans="2:37" x14ac:dyDescent="0.2">
      <c r="C28" t="s">
        <v>10</v>
      </c>
      <c r="I28" s="2" t="s">
        <v>20</v>
      </c>
      <c r="J28" s="2" t="s">
        <v>20</v>
      </c>
      <c r="P28" s="2" t="s">
        <v>20</v>
      </c>
      <c r="Q28" s="2" t="s">
        <v>20</v>
      </c>
      <c r="W28" s="2" t="s">
        <v>20</v>
      </c>
      <c r="X28" s="2" t="s">
        <v>20</v>
      </c>
      <c r="AD28" s="2" t="s">
        <v>20</v>
      </c>
      <c r="AE28" s="2" t="s">
        <v>20</v>
      </c>
      <c r="AH28" s="9"/>
      <c r="AI28" s="10">
        <f t="shared" ref="AI28:AI34" si="2">SUM(D28:H28,K28:O28,R28:V28,Y28:AC28,AF28:AG28)</f>
        <v>0</v>
      </c>
    </row>
    <row r="29" spans="2:37" x14ac:dyDescent="0.2">
      <c r="B29" t="s">
        <v>29</v>
      </c>
      <c r="C29" t="s">
        <v>8</v>
      </c>
      <c r="I29" s="2" t="s">
        <v>20</v>
      </c>
      <c r="J29" s="2" t="s">
        <v>20</v>
      </c>
      <c r="P29" s="2" t="s">
        <v>20</v>
      </c>
      <c r="Q29" s="2" t="s">
        <v>20</v>
      </c>
      <c r="W29" s="2" t="s">
        <v>20</v>
      </c>
      <c r="X29" s="2" t="s">
        <v>20</v>
      </c>
      <c r="AD29" s="2" t="s">
        <v>20</v>
      </c>
      <c r="AE29" s="2" t="s">
        <v>20</v>
      </c>
      <c r="AH29" s="9"/>
      <c r="AI29" s="10">
        <f t="shared" si="2"/>
        <v>0</v>
      </c>
    </row>
    <row r="30" spans="2:37" x14ac:dyDescent="0.2">
      <c r="C30" t="s">
        <v>13</v>
      </c>
      <c r="D30">
        <v>8</v>
      </c>
      <c r="E30">
        <v>8</v>
      </c>
      <c r="F30">
        <v>8</v>
      </c>
      <c r="G30">
        <v>8</v>
      </c>
      <c r="H30">
        <v>8</v>
      </c>
      <c r="I30" s="2" t="s">
        <v>20</v>
      </c>
      <c r="J30" s="2" t="s">
        <v>20</v>
      </c>
      <c r="P30" s="2" t="s">
        <v>20</v>
      </c>
      <c r="Q30" s="2" t="s">
        <v>20</v>
      </c>
      <c r="W30" s="2" t="s">
        <v>20</v>
      </c>
      <c r="X30" s="2" t="s">
        <v>20</v>
      </c>
      <c r="AD30" s="2" t="s">
        <v>20</v>
      </c>
      <c r="AE30" s="2" t="s">
        <v>20</v>
      </c>
      <c r="AH30" s="9"/>
      <c r="AI30" s="10">
        <f t="shared" si="2"/>
        <v>40</v>
      </c>
    </row>
    <row r="31" spans="2:37" x14ac:dyDescent="0.2">
      <c r="B31" s="6">
        <v>176</v>
      </c>
      <c r="C31" t="s">
        <v>11</v>
      </c>
      <c r="I31" s="2" t="s">
        <v>20</v>
      </c>
      <c r="J31" s="2" t="s">
        <v>20</v>
      </c>
      <c r="P31" s="2" t="s">
        <v>20</v>
      </c>
      <c r="Q31" s="2" t="s">
        <v>20</v>
      </c>
      <c r="W31" s="2" t="s">
        <v>20</v>
      </c>
      <c r="X31" s="2" t="s">
        <v>20</v>
      </c>
      <c r="AD31" s="2" t="s">
        <v>20</v>
      </c>
      <c r="AE31" s="2" t="s">
        <v>20</v>
      </c>
      <c r="AH31" s="9"/>
      <c r="AI31" s="10">
        <f t="shared" si="2"/>
        <v>0</v>
      </c>
    </row>
    <row r="32" spans="2:37" x14ac:dyDescent="0.2">
      <c r="C32" t="s">
        <v>7</v>
      </c>
      <c r="I32" s="2" t="s">
        <v>20</v>
      </c>
      <c r="J32" s="2" t="s">
        <v>20</v>
      </c>
      <c r="P32" s="2" t="s">
        <v>20</v>
      </c>
      <c r="Q32" s="2" t="s">
        <v>20</v>
      </c>
      <c r="W32" s="2" t="s">
        <v>20</v>
      </c>
      <c r="X32" s="2" t="s">
        <v>20</v>
      </c>
      <c r="AD32" s="2" t="s">
        <v>20</v>
      </c>
      <c r="AE32" s="2" t="s">
        <v>20</v>
      </c>
      <c r="AH32" s="9"/>
      <c r="AI32" s="10">
        <f t="shared" si="2"/>
        <v>0</v>
      </c>
    </row>
    <row r="33" spans="2:37" x14ac:dyDescent="0.2">
      <c r="C33" t="s">
        <v>12</v>
      </c>
      <c r="I33" s="2" t="s">
        <v>20</v>
      </c>
      <c r="J33" s="2" t="s">
        <v>20</v>
      </c>
      <c r="K33">
        <v>8</v>
      </c>
      <c r="L33">
        <v>8</v>
      </c>
      <c r="M33">
        <v>8</v>
      </c>
      <c r="N33">
        <v>8</v>
      </c>
      <c r="O33">
        <v>8</v>
      </c>
      <c r="P33" s="2" t="s">
        <v>20</v>
      </c>
      <c r="Q33" s="2" t="s">
        <v>20</v>
      </c>
      <c r="R33">
        <v>8</v>
      </c>
      <c r="S33">
        <v>8</v>
      </c>
      <c r="T33">
        <v>8</v>
      </c>
      <c r="U33">
        <v>8</v>
      </c>
      <c r="V33">
        <v>8</v>
      </c>
      <c r="W33" s="2" t="s">
        <v>20</v>
      </c>
      <c r="X33" s="2" t="s">
        <v>20</v>
      </c>
      <c r="Y33">
        <v>8</v>
      </c>
      <c r="Z33">
        <v>8</v>
      </c>
      <c r="AA33">
        <v>8</v>
      </c>
      <c r="AB33">
        <v>8</v>
      </c>
      <c r="AC33">
        <v>8</v>
      </c>
      <c r="AD33" s="2" t="s">
        <v>20</v>
      </c>
      <c r="AE33" s="2" t="s">
        <v>20</v>
      </c>
      <c r="AH33" s="9"/>
      <c r="AI33" s="10">
        <f t="shared" si="2"/>
        <v>120</v>
      </c>
    </row>
    <row r="34" spans="2:37" x14ac:dyDescent="0.2">
      <c r="C34" t="s">
        <v>9</v>
      </c>
      <c r="I34" s="2" t="s">
        <v>20</v>
      </c>
      <c r="J34" s="2" t="s">
        <v>20</v>
      </c>
      <c r="P34" s="2" t="s">
        <v>20</v>
      </c>
      <c r="Q34" s="2" t="s">
        <v>20</v>
      </c>
      <c r="W34" s="2" t="s">
        <v>20</v>
      </c>
      <c r="X34" s="2" t="s">
        <v>20</v>
      </c>
      <c r="AD34" s="2" t="s">
        <v>20</v>
      </c>
      <c r="AE34" s="2" t="s">
        <v>20</v>
      </c>
      <c r="AH34" s="9"/>
      <c r="AI34" s="10">
        <f t="shared" si="2"/>
        <v>0</v>
      </c>
    </row>
    <row r="35" spans="2:37" s="1" customFormat="1" x14ac:dyDescent="0.2">
      <c r="AI35" s="11">
        <f>SUM(AI27:AI34)</f>
        <v>160</v>
      </c>
      <c r="AK35" s="1">
        <f>SUM(AI35,AJ27:AK27)</f>
        <v>160</v>
      </c>
    </row>
    <row r="36" spans="2:37" x14ac:dyDescent="0.2">
      <c r="B36" t="s">
        <v>15</v>
      </c>
      <c r="C36" t="s">
        <v>16</v>
      </c>
      <c r="F36" s="4" t="s">
        <v>25</v>
      </c>
      <c r="G36" s="2" t="s">
        <v>20</v>
      </c>
      <c r="H36" s="2" t="s">
        <v>20</v>
      </c>
      <c r="N36" s="2" t="s">
        <v>20</v>
      </c>
      <c r="O36" s="2" t="s">
        <v>20</v>
      </c>
      <c r="U36" s="2" t="s">
        <v>20</v>
      </c>
      <c r="V36" s="2" t="s">
        <v>20</v>
      </c>
      <c r="AB36" s="2" t="s">
        <v>20</v>
      </c>
      <c r="AC36" s="2" t="s">
        <v>20</v>
      </c>
      <c r="AH36" s="4" t="s">
        <v>25</v>
      </c>
      <c r="AI36" s="10">
        <f>SUM(D36:E36,I36:M36,P36:T36,W36:AA36,AD36:AG36)</f>
        <v>0</v>
      </c>
      <c r="AK36">
        <v>16</v>
      </c>
    </row>
    <row r="37" spans="2:37" x14ac:dyDescent="0.2">
      <c r="C37" t="s">
        <v>10</v>
      </c>
      <c r="D37">
        <v>8</v>
      </c>
      <c r="E37">
        <v>8</v>
      </c>
      <c r="F37" s="4" t="s">
        <v>25</v>
      </c>
      <c r="G37" s="2" t="s">
        <v>20</v>
      </c>
      <c r="H37" s="2" t="s">
        <v>20</v>
      </c>
      <c r="N37" s="2" t="s">
        <v>20</v>
      </c>
      <c r="O37" s="2" t="s">
        <v>20</v>
      </c>
      <c r="U37" s="2" t="s">
        <v>20</v>
      </c>
      <c r="V37" s="2" t="s">
        <v>20</v>
      </c>
      <c r="AB37" s="2" t="s">
        <v>20</v>
      </c>
      <c r="AC37" s="2" t="s">
        <v>20</v>
      </c>
      <c r="AH37" s="4" t="s">
        <v>25</v>
      </c>
      <c r="AI37" s="10">
        <f t="shared" ref="AI37:AI44" si="3">SUM(D37:E37,I37:M37,P37:T37,W37:AA37,AD37:AG37)</f>
        <v>16</v>
      </c>
    </row>
    <row r="38" spans="2:37" x14ac:dyDescent="0.2">
      <c r="B38" t="s">
        <v>29</v>
      </c>
      <c r="C38" t="s">
        <v>8</v>
      </c>
      <c r="F38" s="4" t="s">
        <v>25</v>
      </c>
      <c r="G38" s="2" t="s">
        <v>20</v>
      </c>
      <c r="H38" s="2" t="s">
        <v>20</v>
      </c>
      <c r="N38" s="2" t="s">
        <v>20</v>
      </c>
      <c r="O38" s="2" t="s">
        <v>20</v>
      </c>
      <c r="U38" s="2" t="s">
        <v>20</v>
      </c>
      <c r="V38" s="2" t="s">
        <v>20</v>
      </c>
      <c r="AB38" s="2" t="s">
        <v>20</v>
      </c>
      <c r="AC38" s="2" t="s">
        <v>20</v>
      </c>
      <c r="AH38" s="4" t="s">
        <v>25</v>
      </c>
      <c r="AI38" s="10">
        <f>SUM(D38:E38,I38:M38,P38:T38,W38:AA38,AD38:AG38)</f>
        <v>0</v>
      </c>
    </row>
    <row r="39" spans="2:37" x14ac:dyDescent="0.2">
      <c r="B39" t="s">
        <v>30</v>
      </c>
      <c r="C39" t="s">
        <v>13</v>
      </c>
      <c r="F39" s="4" t="s">
        <v>25</v>
      </c>
      <c r="G39" s="2" t="s">
        <v>20</v>
      </c>
      <c r="H39" s="2" t="s">
        <v>20</v>
      </c>
      <c r="I39">
        <v>8</v>
      </c>
      <c r="J39">
        <v>8</v>
      </c>
      <c r="K39">
        <v>8</v>
      </c>
      <c r="L39">
        <v>8</v>
      </c>
      <c r="M39">
        <v>8</v>
      </c>
      <c r="N39" s="2" t="s">
        <v>20</v>
      </c>
      <c r="O39" s="2" t="s">
        <v>20</v>
      </c>
      <c r="P39">
        <v>8</v>
      </c>
      <c r="Q39">
        <v>8</v>
      </c>
      <c r="R39">
        <v>8</v>
      </c>
      <c r="S39">
        <v>8</v>
      </c>
      <c r="T39">
        <v>8</v>
      </c>
      <c r="U39" s="2" t="s">
        <v>20</v>
      </c>
      <c r="V39" s="2" t="s">
        <v>20</v>
      </c>
      <c r="AB39" s="2" t="s">
        <v>20</v>
      </c>
      <c r="AC39" s="2" t="s">
        <v>20</v>
      </c>
      <c r="AH39" s="4" t="s">
        <v>25</v>
      </c>
      <c r="AI39" s="10">
        <f>SUM(D39:E39,I39:M39,P39:T39,W39:AA39,AD39:AG39)</f>
        <v>80</v>
      </c>
    </row>
    <row r="40" spans="2:37" x14ac:dyDescent="0.2">
      <c r="B40" s="6">
        <v>184</v>
      </c>
      <c r="C40" t="s">
        <v>11</v>
      </c>
      <c r="F40" s="4" t="s">
        <v>25</v>
      </c>
      <c r="G40" s="2" t="s">
        <v>20</v>
      </c>
      <c r="H40" s="2" t="s">
        <v>20</v>
      </c>
      <c r="N40" s="2" t="s">
        <v>20</v>
      </c>
      <c r="O40" s="2" t="s">
        <v>20</v>
      </c>
      <c r="U40" s="2" t="s">
        <v>20</v>
      </c>
      <c r="V40" s="2" t="s">
        <v>20</v>
      </c>
      <c r="AB40" s="2" t="s">
        <v>20</v>
      </c>
      <c r="AC40" s="2" t="s">
        <v>20</v>
      </c>
      <c r="AH40" s="4" t="s">
        <v>25</v>
      </c>
      <c r="AI40" s="10">
        <f t="shared" si="3"/>
        <v>0</v>
      </c>
    </row>
    <row r="41" spans="2:37" x14ac:dyDescent="0.2">
      <c r="C41" t="s">
        <v>35</v>
      </c>
      <c r="F41" s="4" t="s">
        <v>25</v>
      </c>
      <c r="G41" s="2" t="s">
        <v>20</v>
      </c>
      <c r="H41" s="2" t="s">
        <v>20</v>
      </c>
      <c r="N41" s="2" t="s">
        <v>20</v>
      </c>
      <c r="O41" s="2" t="s">
        <v>20</v>
      </c>
      <c r="U41" s="2" t="s">
        <v>20</v>
      </c>
      <c r="V41" s="2" t="s">
        <v>20</v>
      </c>
      <c r="AB41" s="2" t="s">
        <v>20</v>
      </c>
      <c r="AC41" s="2" t="s">
        <v>20</v>
      </c>
      <c r="AH41" s="4" t="s">
        <v>25</v>
      </c>
      <c r="AI41" s="10">
        <v>0</v>
      </c>
    </row>
    <row r="42" spans="2:37" x14ac:dyDescent="0.2">
      <c r="C42" t="s">
        <v>7</v>
      </c>
      <c r="F42" s="4" t="s">
        <v>25</v>
      </c>
      <c r="G42" s="2" t="s">
        <v>20</v>
      </c>
      <c r="H42" s="2" t="s">
        <v>20</v>
      </c>
      <c r="N42" s="2" t="s">
        <v>20</v>
      </c>
      <c r="O42" s="2" t="s">
        <v>20</v>
      </c>
      <c r="U42" s="2" t="s">
        <v>20</v>
      </c>
      <c r="V42" s="2" t="s">
        <v>20</v>
      </c>
      <c r="AB42" s="2" t="s">
        <v>20</v>
      </c>
      <c r="AC42" s="2" t="s">
        <v>20</v>
      </c>
      <c r="AH42" s="4" t="s">
        <v>25</v>
      </c>
      <c r="AI42" s="10">
        <f t="shared" si="3"/>
        <v>0</v>
      </c>
    </row>
    <row r="43" spans="2:37" x14ac:dyDescent="0.2">
      <c r="C43" t="s">
        <v>12</v>
      </c>
      <c r="F43" s="4" t="s">
        <v>25</v>
      </c>
      <c r="G43" s="2" t="s">
        <v>20</v>
      </c>
      <c r="H43" s="2" t="s">
        <v>20</v>
      </c>
      <c r="N43" s="2" t="s">
        <v>20</v>
      </c>
      <c r="O43" s="2" t="s">
        <v>20</v>
      </c>
      <c r="U43" s="2" t="s">
        <v>20</v>
      </c>
      <c r="V43" s="2" t="s">
        <v>20</v>
      </c>
      <c r="W43">
        <v>8</v>
      </c>
      <c r="X43">
        <v>8</v>
      </c>
      <c r="Y43">
        <v>8</v>
      </c>
      <c r="Z43">
        <v>8</v>
      </c>
      <c r="AA43">
        <v>8</v>
      </c>
      <c r="AB43" s="2" t="s">
        <v>20</v>
      </c>
      <c r="AC43" s="2" t="s">
        <v>20</v>
      </c>
      <c r="AD43">
        <v>8</v>
      </c>
      <c r="AE43">
        <v>8</v>
      </c>
      <c r="AF43">
        <v>8</v>
      </c>
      <c r="AG43">
        <v>8</v>
      </c>
      <c r="AH43" s="4" t="s">
        <v>25</v>
      </c>
      <c r="AI43" s="10">
        <f t="shared" si="3"/>
        <v>72</v>
      </c>
    </row>
    <row r="44" spans="2:37" x14ac:dyDescent="0.2">
      <c r="C44" t="s">
        <v>9</v>
      </c>
      <c r="F44" s="4" t="s">
        <v>25</v>
      </c>
      <c r="G44" s="2" t="s">
        <v>20</v>
      </c>
      <c r="H44" s="2" t="s">
        <v>20</v>
      </c>
      <c r="N44" s="2" t="s">
        <v>20</v>
      </c>
      <c r="O44" s="2" t="s">
        <v>20</v>
      </c>
      <c r="U44" s="2" t="s">
        <v>20</v>
      </c>
      <c r="V44" s="2" t="s">
        <v>20</v>
      </c>
      <c r="AB44" s="2" t="s">
        <v>20</v>
      </c>
      <c r="AC44" s="2" t="s">
        <v>20</v>
      </c>
      <c r="AH44" s="4" t="s">
        <v>25</v>
      </c>
      <c r="AI44" s="10">
        <f t="shared" si="3"/>
        <v>0</v>
      </c>
    </row>
    <row r="45" spans="2:37" s="1" customFormat="1" x14ac:dyDescent="0.2">
      <c r="AI45" s="11">
        <f>SUM(AI36:AI44)</f>
        <v>168</v>
      </c>
      <c r="AK45" s="1">
        <f>SUM(AI45,AJ36:AK36)</f>
        <v>184</v>
      </c>
    </row>
    <row r="46" spans="2:37" x14ac:dyDescent="0.2">
      <c r="B46" t="s">
        <v>18</v>
      </c>
      <c r="C46" t="s">
        <v>16</v>
      </c>
      <c r="D46" s="2" t="s">
        <v>20</v>
      </c>
      <c r="E46" s="2" t="s">
        <v>20</v>
      </c>
      <c r="K46" s="2" t="s">
        <v>20</v>
      </c>
      <c r="L46" s="2" t="s">
        <v>20</v>
      </c>
      <c r="R46" s="2" t="s">
        <v>20</v>
      </c>
      <c r="S46" s="2" t="s">
        <v>20</v>
      </c>
      <c r="Y46" s="2" t="s">
        <v>20</v>
      </c>
      <c r="Z46" s="2" t="s">
        <v>20</v>
      </c>
      <c r="AF46" s="2" t="s">
        <v>20</v>
      </c>
      <c r="AG46" s="2" t="s">
        <v>20</v>
      </c>
      <c r="AH46" s="9"/>
      <c r="AI46" s="10">
        <f>SUM(F46:J46,M46:Q46,T46:X46,AA46:AE46)</f>
        <v>0</v>
      </c>
    </row>
    <row r="47" spans="2:37" x14ac:dyDescent="0.2">
      <c r="C47" t="s">
        <v>10</v>
      </c>
      <c r="D47" s="2" t="s">
        <v>20</v>
      </c>
      <c r="E47" s="2" t="s">
        <v>20</v>
      </c>
      <c r="K47" s="2" t="s">
        <v>20</v>
      </c>
      <c r="L47" s="2" t="s">
        <v>20</v>
      </c>
      <c r="R47" s="2" t="s">
        <v>20</v>
      </c>
      <c r="S47" s="2" t="s">
        <v>20</v>
      </c>
      <c r="Y47" s="2" t="s">
        <v>20</v>
      </c>
      <c r="Z47" s="2" t="s">
        <v>20</v>
      </c>
      <c r="AF47" s="2" t="s">
        <v>20</v>
      </c>
      <c r="AG47" s="2" t="s">
        <v>20</v>
      </c>
      <c r="AH47" s="9"/>
      <c r="AI47" s="10">
        <f t="shared" ref="AI47:AI54" si="4">SUM(F47:J47,M47:Q47,T47:X47,AA47:AE47)</f>
        <v>0</v>
      </c>
    </row>
    <row r="48" spans="2:37" x14ac:dyDescent="0.2">
      <c r="B48" t="s">
        <v>31</v>
      </c>
      <c r="C48" t="s">
        <v>8</v>
      </c>
      <c r="D48" s="2" t="s">
        <v>20</v>
      </c>
      <c r="E48" s="2" t="s">
        <v>20</v>
      </c>
      <c r="K48" s="2" t="s">
        <v>20</v>
      </c>
      <c r="L48" s="2" t="s">
        <v>20</v>
      </c>
      <c r="R48" s="2" t="s">
        <v>20</v>
      </c>
      <c r="S48" s="2" t="s">
        <v>20</v>
      </c>
      <c r="Y48" s="2" t="s">
        <v>20</v>
      </c>
      <c r="Z48" s="2" t="s">
        <v>20</v>
      </c>
      <c r="AF48" s="2" t="s">
        <v>20</v>
      </c>
      <c r="AG48" s="2" t="s">
        <v>20</v>
      </c>
      <c r="AH48" s="9"/>
      <c r="AI48" s="10">
        <f t="shared" si="4"/>
        <v>0</v>
      </c>
    </row>
    <row r="49" spans="2:37" x14ac:dyDescent="0.2">
      <c r="C49" t="s">
        <v>13</v>
      </c>
      <c r="D49" s="2" t="s">
        <v>20</v>
      </c>
      <c r="E49" s="2" t="s">
        <v>20</v>
      </c>
      <c r="K49" s="2" t="s">
        <v>20</v>
      </c>
      <c r="L49" s="2" t="s">
        <v>20</v>
      </c>
      <c r="M49">
        <v>8</v>
      </c>
      <c r="N49">
        <v>8</v>
      </c>
      <c r="O49">
        <v>8</v>
      </c>
      <c r="P49">
        <v>8</v>
      </c>
      <c r="Q49">
        <v>8</v>
      </c>
      <c r="R49" s="2" t="s">
        <v>20</v>
      </c>
      <c r="S49" s="2" t="s">
        <v>20</v>
      </c>
      <c r="Y49" s="2" t="s">
        <v>20</v>
      </c>
      <c r="Z49" s="2" t="s">
        <v>20</v>
      </c>
      <c r="AF49" s="2" t="s">
        <v>20</v>
      </c>
      <c r="AG49" s="2" t="s">
        <v>20</v>
      </c>
      <c r="AH49" s="9"/>
      <c r="AI49" s="10">
        <f t="shared" si="4"/>
        <v>40</v>
      </c>
    </row>
    <row r="50" spans="2:37" x14ac:dyDescent="0.2">
      <c r="B50" s="6">
        <v>160</v>
      </c>
      <c r="C50" t="s">
        <v>11</v>
      </c>
      <c r="D50" s="2" t="s">
        <v>20</v>
      </c>
      <c r="E50" s="2" t="s">
        <v>20</v>
      </c>
      <c r="K50" s="2" t="s">
        <v>20</v>
      </c>
      <c r="L50" s="2" t="s">
        <v>20</v>
      </c>
      <c r="R50" s="2" t="s">
        <v>20</v>
      </c>
      <c r="S50" s="2" t="s">
        <v>20</v>
      </c>
      <c r="Y50" s="2" t="s">
        <v>20</v>
      </c>
      <c r="Z50" s="2" t="s">
        <v>20</v>
      </c>
      <c r="AF50" s="2" t="s">
        <v>20</v>
      </c>
      <c r="AG50" s="2" t="s">
        <v>20</v>
      </c>
      <c r="AH50" s="9"/>
      <c r="AI50" s="10">
        <f t="shared" si="4"/>
        <v>0</v>
      </c>
    </row>
    <row r="51" spans="2:37" x14ac:dyDescent="0.2">
      <c r="C51" t="s">
        <v>35</v>
      </c>
      <c r="D51" s="2" t="s">
        <v>20</v>
      </c>
      <c r="E51" s="2" t="s">
        <v>20</v>
      </c>
      <c r="K51" s="2" t="s">
        <v>20</v>
      </c>
      <c r="L51" s="2" t="s">
        <v>20</v>
      </c>
      <c r="R51" s="2" t="s">
        <v>20</v>
      </c>
      <c r="S51" s="2" t="s">
        <v>20</v>
      </c>
      <c r="Y51" s="2" t="s">
        <v>20</v>
      </c>
      <c r="Z51" s="2" t="s">
        <v>20</v>
      </c>
      <c r="AF51" s="2" t="s">
        <v>20</v>
      </c>
      <c r="AG51" s="2" t="s">
        <v>20</v>
      </c>
      <c r="AH51" s="9"/>
      <c r="AI51" s="10">
        <f t="shared" si="4"/>
        <v>0</v>
      </c>
    </row>
    <row r="52" spans="2:37" x14ac:dyDescent="0.2">
      <c r="C52" t="s">
        <v>7</v>
      </c>
      <c r="D52" s="2" t="s">
        <v>20</v>
      </c>
      <c r="E52" s="2" t="s">
        <v>20</v>
      </c>
      <c r="F52">
        <v>8</v>
      </c>
      <c r="G52">
        <v>8</v>
      </c>
      <c r="H52">
        <v>8</v>
      </c>
      <c r="I52">
        <v>8</v>
      </c>
      <c r="J52">
        <v>8</v>
      </c>
      <c r="K52" s="2" t="s">
        <v>20</v>
      </c>
      <c r="L52" s="2" t="s">
        <v>20</v>
      </c>
      <c r="R52" s="2" t="s">
        <v>20</v>
      </c>
      <c r="S52" s="2" t="s">
        <v>20</v>
      </c>
      <c r="Y52" s="2" t="s">
        <v>20</v>
      </c>
      <c r="Z52" s="2" t="s">
        <v>20</v>
      </c>
      <c r="AF52" s="2" t="s">
        <v>20</v>
      </c>
      <c r="AG52" s="2" t="s">
        <v>20</v>
      </c>
      <c r="AH52" s="9"/>
      <c r="AI52" s="10">
        <f t="shared" si="4"/>
        <v>40</v>
      </c>
    </row>
    <row r="53" spans="2:37" x14ac:dyDescent="0.2">
      <c r="C53" t="s">
        <v>12</v>
      </c>
      <c r="D53" s="2" t="s">
        <v>20</v>
      </c>
      <c r="E53" s="2" t="s">
        <v>20</v>
      </c>
      <c r="K53" s="2" t="s">
        <v>20</v>
      </c>
      <c r="L53" s="2" t="s">
        <v>20</v>
      </c>
      <c r="R53" s="2" t="s">
        <v>20</v>
      </c>
      <c r="S53" s="2" t="s">
        <v>20</v>
      </c>
      <c r="T53">
        <v>8</v>
      </c>
      <c r="U53">
        <v>8</v>
      </c>
      <c r="V53">
        <v>8</v>
      </c>
      <c r="W53">
        <v>8</v>
      </c>
      <c r="X53">
        <v>8</v>
      </c>
      <c r="Y53" s="2" t="s">
        <v>20</v>
      </c>
      <c r="Z53" s="2" t="s">
        <v>20</v>
      </c>
      <c r="AA53">
        <v>8</v>
      </c>
      <c r="AB53">
        <v>8</v>
      </c>
      <c r="AC53">
        <v>8</v>
      </c>
      <c r="AD53">
        <v>8</v>
      </c>
      <c r="AE53">
        <v>8</v>
      </c>
      <c r="AF53" s="2" t="s">
        <v>20</v>
      </c>
      <c r="AG53" s="2" t="s">
        <v>20</v>
      </c>
      <c r="AH53" s="9"/>
      <c r="AI53" s="10">
        <f t="shared" si="4"/>
        <v>80</v>
      </c>
    </row>
    <row r="54" spans="2:37" x14ac:dyDescent="0.2">
      <c r="C54" t="s">
        <v>9</v>
      </c>
      <c r="D54" s="2" t="s">
        <v>20</v>
      </c>
      <c r="E54" s="2" t="s">
        <v>20</v>
      </c>
      <c r="K54" s="2" t="s">
        <v>20</v>
      </c>
      <c r="L54" s="2" t="s">
        <v>20</v>
      </c>
      <c r="R54" s="2" t="s">
        <v>20</v>
      </c>
      <c r="S54" s="2" t="s">
        <v>20</v>
      </c>
      <c r="Y54" s="2" t="s">
        <v>20</v>
      </c>
      <c r="Z54" s="2" t="s">
        <v>20</v>
      </c>
      <c r="AF54" s="2" t="s">
        <v>20</v>
      </c>
      <c r="AG54" s="2" t="s">
        <v>20</v>
      </c>
      <c r="AH54" s="9"/>
      <c r="AI54" s="10">
        <f t="shared" si="4"/>
        <v>0</v>
      </c>
    </row>
    <row r="55" spans="2:37" s="1" customFormat="1" x14ac:dyDescent="0.2">
      <c r="AI55" s="11">
        <f>SUM(AI46:AI54)</f>
        <v>160</v>
      </c>
      <c r="AK55" s="1">
        <f>SUM(AI55,AJ46:AK46)</f>
        <v>160</v>
      </c>
    </row>
    <row r="56" spans="2:37" x14ac:dyDescent="0.2">
      <c r="B56" t="s">
        <v>19</v>
      </c>
      <c r="C56" t="s">
        <v>16</v>
      </c>
      <c r="I56" s="2" t="s">
        <v>20</v>
      </c>
      <c r="J56" s="2" t="s">
        <v>20</v>
      </c>
      <c r="P56" s="2" t="s">
        <v>20</v>
      </c>
      <c r="Q56" s="2" t="s">
        <v>20</v>
      </c>
      <c r="W56" s="2" t="s">
        <v>20</v>
      </c>
      <c r="X56" s="2" t="s">
        <v>20</v>
      </c>
      <c r="Y56" s="2" t="s">
        <v>33</v>
      </c>
      <c r="Z56" s="2" t="s">
        <v>33</v>
      </c>
      <c r="AA56" s="2" t="s">
        <v>33</v>
      </c>
      <c r="AB56" s="4" t="s">
        <v>25</v>
      </c>
      <c r="AC56" s="4" t="s">
        <v>25</v>
      </c>
      <c r="AD56" s="2" t="s">
        <v>20</v>
      </c>
      <c r="AE56" s="2" t="s">
        <v>20</v>
      </c>
      <c r="AF56" s="2" t="s">
        <v>33</v>
      </c>
      <c r="AG56" s="2" t="s">
        <v>33</v>
      </c>
      <c r="AH56" s="2" t="s">
        <v>33</v>
      </c>
      <c r="AI56" s="10">
        <f>SUM(D56:H56,K56:O56,R56:V56)</f>
        <v>0</v>
      </c>
      <c r="AJ56">
        <v>48</v>
      </c>
      <c r="AK56">
        <v>16</v>
      </c>
    </row>
    <row r="57" spans="2:37" x14ac:dyDescent="0.2">
      <c r="C57" t="s">
        <v>10</v>
      </c>
      <c r="I57" s="2" t="s">
        <v>20</v>
      </c>
      <c r="J57" s="2" t="s">
        <v>20</v>
      </c>
      <c r="K57">
        <v>8</v>
      </c>
      <c r="L57">
        <v>8</v>
      </c>
      <c r="M57">
        <v>8</v>
      </c>
      <c r="N57">
        <v>8</v>
      </c>
      <c r="O57">
        <v>8</v>
      </c>
      <c r="P57" s="2" t="s">
        <v>20</v>
      </c>
      <c r="Q57" s="2" t="s">
        <v>20</v>
      </c>
      <c r="R57">
        <v>8</v>
      </c>
      <c r="S57">
        <v>8</v>
      </c>
      <c r="T57">
        <v>8</v>
      </c>
      <c r="U57">
        <v>8</v>
      </c>
      <c r="V57">
        <v>8</v>
      </c>
      <c r="W57" s="2" t="s">
        <v>20</v>
      </c>
      <c r="X57" s="2" t="s">
        <v>20</v>
      </c>
      <c r="Y57" s="2" t="s">
        <v>33</v>
      </c>
      <c r="Z57" s="2" t="s">
        <v>33</v>
      </c>
      <c r="AA57" s="2" t="s">
        <v>33</v>
      </c>
      <c r="AB57" s="4" t="s">
        <v>25</v>
      </c>
      <c r="AC57" s="4" t="s">
        <v>25</v>
      </c>
      <c r="AD57" s="2" t="s">
        <v>20</v>
      </c>
      <c r="AE57" s="2" t="s">
        <v>20</v>
      </c>
      <c r="AF57" s="2" t="s">
        <v>33</v>
      </c>
      <c r="AG57" s="2" t="s">
        <v>33</v>
      </c>
      <c r="AH57" s="2" t="s">
        <v>33</v>
      </c>
      <c r="AI57" s="10">
        <f t="shared" ref="AI57:AI64" si="5">SUM(D57:H57,K57:O57,R57:V57)</f>
        <v>80</v>
      </c>
    </row>
    <row r="58" spans="2:37" x14ac:dyDescent="0.2">
      <c r="B58" t="s">
        <v>38</v>
      </c>
      <c r="C58" t="s">
        <v>8</v>
      </c>
      <c r="I58" s="2" t="s">
        <v>20</v>
      </c>
      <c r="J58" s="2" t="s">
        <v>20</v>
      </c>
      <c r="P58" s="2" t="s">
        <v>20</v>
      </c>
      <c r="Q58" s="2" t="s">
        <v>20</v>
      </c>
      <c r="W58" s="2" t="s">
        <v>20</v>
      </c>
      <c r="X58" s="2" t="s">
        <v>20</v>
      </c>
      <c r="Y58" s="2" t="s">
        <v>33</v>
      </c>
      <c r="Z58" s="2" t="s">
        <v>33</v>
      </c>
      <c r="AA58" s="2" t="s">
        <v>33</v>
      </c>
      <c r="AB58" s="4" t="s">
        <v>25</v>
      </c>
      <c r="AC58" s="4" t="s">
        <v>25</v>
      </c>
      <c r="AD58" s="2" t="s">
        <v>20</v>
      </c>
      <c r="AE58" s="2" t="s">
        <v>20</v>
      </c>
      <c r="AF58" s="2" t="s">
        <v>33</v>
      </c>
      <c r="AG58" s="2" t="s">
        <v>33</v>
      </c>
      <c r="AH58" s="2" t="s">
        <v>33</v>
      </c>
      <c r="AI58" s="10">
        <f t="shared" si="5"/>
        <v>0</v>
      </c>
    </row>
    <row r="59" spans="2:37" x14ac:dyDescent="0.2">
      <c r="C59" t="s">
        <v>13</v>
      </c>
      <c r="D59">
        <v>8</v>
      </c>
      <c r="E59">
        <v>8</v>
      </c>
      <c r="F59">
        <v>8</v>
      </c>
      <c r="G59">
        <v>8</v>
      </c>
      <c r="H59">
        <v>8</v>
      </c>
      <c r="I59" s="2" t="s">
        <v>20</v>
      </c>
      <c r="J59" s="2" t="s">
        <v>20</v>
      </c>
      <c r="P59" s="2" t="s">
        <v>20</v>
      </c>
      <c r="Q59" s="2" t="s">
        <v>20</v>
      </c>
      <c r="W59" s="2" t="s">
        <v>20</v>
      </c>
      <c r="X59" s="2" t="s">
        <v>20</v>
      </c>
      <c r="Y59" s="2" t="s">
        <v>33</v>
      </c>
      <c r="Z59" s="2" t="s">
        <v>33</v>
      </c>
      <c r="AA59" s="2" t="s">
        <v>33</v>
      </c>
      <c r="AB59" s="4" t="s">
        <v>25</v>
      </c>
      <c r="AC59" s="4" t="s">
        <v>25</v>
      </c>
      <c r="AD59" s="2" t="s">
        <v>20</v>
      </c>
      <c r="AE59" s="2" t="s">
        <v>20</v>
      </c>
      <c r="AF59" s="2" t="s">
        <v>33</v>
      </c>
      <c r="AG59" s="2" t="s">
        <v>33</v>
      </c>
      <c r="AH59" s="2" t="s">
        <v>33</v>
      </c>
      <c r="AI59" s="10">
        <f t="shared" si="5"/>
        <v>40</v>
      </c>
    </row>
    <row r="60" spans="2:37" x14ac:dyDescent="0.2">
      <c r="B60" t="s">
        <v>30</v>
      </c>
      <c r="C60" t="s">
        <v>11</v>
      </c>
      <c r="I60" s="2" t="s">
        <v>20</v>
      </c>
      <c r="J60" s="2" t="s">
        <v>20</v>
      </c>
      <c r="P60" s="2" t="s">
        <v>20</v>
      </c>
      <c r="Q60" s="2" t="s">
        <v>20</v>
      </c>
      <c r="W60" s="2" t="s">
        <v>20</v>
      </c>
      <c r="X60" s="2" t="s">
        <v>20</v>
      </c>
      <c r="Y60" s="2" t="s">
        <v>33</v>
      </c>
      <c r="Z60" s="2" t="s">
        <v>33</v>
      </c>
      <c r="AA60" s="2" t="s">
        <v>33</v>
      </c>
      <c r="AB60" s="4" t="s">
        <v>25</v>
      </c>
      <c r="AC60" s="4" t="s">
        <v>25</v>
      </c>
      <c r="AD60" s="2" t="s">
        <v>20</v>
      </c>
      <c r="AE60" s="2" t="s">
        <v>20</v>
      </c>
      <c r="AF60" s="2" t="s">
        <v>33</v>
      </c>
      <c r="AG60" s="2" t="s">
        <v>33</v>
      </c>
      <c r="AH60" s="2" t="s">
        <v>33</v>
      </c>
      <c r="AI60" s="10">
        <f t="shared" si="5"/>
        <v>0</v>
      </c>
    </row>
    <row r="61" spans="2:37" x14ac:dyDescent="0.2">
      <c r="B61" t="s">
        <v>39</v>
      </c>
      <c r="C61" t="s">
        <v>35</v>
      </c>
      <c r="I61" s="2" t="s">
        <v>20</v>
      </c>
      <c r="J61" s="2" t="s">
        <v>20</v>
      </c>
      <c r="P61" s="2" t="s">
        <v>20</v>
      </c>
      <c r="Q61" s="2" t="s">
        <v>20</v>
      </c>
      <c r="W61" s="2" t="s">
        <v>20</v>
      </c>
      <c r="X61" s="2" t="s">
        <v>20</v>
      </c>
      <c r="Y61" s="2" t="s">
        <v>33</v>
      </c>
      <c r="Z61" s="2" t="s">
        <v>33</v>
      </c>
      <c r="AA61" s="2" t="s">
        <v>33</v>
      </c>
      <c r="AB61" s="4" t="s">
        <v>25</v>
      </c>
      <c r="AC61" s="4" t="s">
        <v>25</v>
      </c>
      <c r="AD61" s="2" t="s">
        <v>20</v>
      </c>
      <c r="AE61" s="2" t="s">
        <v>20</v>
      </c>
      <c r="AF61" s="2" t="s">
        <v>33</v>
      </c>
      <c r="AG61" s="2" t="s">
        <v>33</v>
      </c>
      <c r="AH61" s="2" t="s">
        <v>33</v>
      </c>
      <c r="AI61" s="10">
        <f t="shared" si="5"/>
        <v>0</v>
      </c>
    </row>
    <row r="62" spans="2:37" x14ac:dyDescent="0.2">
      <c r="C62" t="s">
        <v>7</v>
      </c>
      <c r="I62" s="2" t="s">
        <v>20</v>
      </c>
      <c r="J62" s="2" t="s">
        <v>20</v>
      </c>
      <c r="P62" s="2" t="s">
        <v>20</v>
      </c>
      <c r="Q62" s="2" t="s">
        <v>20</v>
      </c>
      <c r="W62" s="2" t="s">
        <v>20</v>
      </c>
      <c r="X62" s="2" t="s">
        <v>20</v>
      </c>
      <c r="Y62" s="2" t="s">
        <v>33</v>
      </c>
      <c r="Z62" s="2" t="s">
        <v>33</v>
      </c>
      <c r="AA62" s="2" t="s">
        <v>33</v>
      </c>
      <c r="AB62" s="4" t="s">
        <v>25</v>
      </c>
      <c r="AC62" s="4" t="s">
        <v>25</v>
      </c>
      <c r="AD62" s="2" t="s">
        <v>20</v>
      </c>
      <c r="AE62" s="2" t="s">
        <v>20</v>
      </c>
      <c r="AF62" s="2" t="s">
        <v>33</v>
      </c>
      <c r="AG62" s="2" t="s">
        <v>33</v>
      </c>
      <c r="AH62" s="2" t="s">
        <v>33</v>
      </c>
      <c r="AI62" s="10">
        <f t="shared" si="5"/>
        <v>0</v>
      </c>
    </row>
    <row r="63" spans="2:37" x14ac:dyDescent="0.2">
      <c r="B63" s="6">
        <v>120</v>
      </c>
      <c r="C63" t="s">
        <v>12</v>
      </c>
      <c r="I63" s="2" t="s">
        <v>20</v>
      </c>
      <c r="J63" s="2" t="s">
        <v>20</v>
      </c>
      <c r="P63" s="2" t="s">
        <v>20</v>
      </c>
      <c r="Q63" s="2" t="s">
        <v>20</v>
      </c>
      <c r="W63" s="2" t="s">
        <v>20</v>
      </c>
      <c r="X63" s="2" t="s">
        <v>20</v>
      </c>
      <c r="Y63" s="2" t="s">
        <v>33</v>
      </c>
      <c r="Z63" s="2" t="s">
        <v>33</v>
      </c>
      <c r="AA63" s="2" t="s">
        <v>33</v>
      </c>
      <c r="AB63" s="4" t="s">
        <v>25</v>
      </c>
      <c r="AC63" s="4" t="s">
        <v>25</v>
      </c>
      <c r="AD63" s="2" t="s">
        <v>20</v>
      </c>
      <c r="AE63" s="2" t="s">
        <v>20</v>
      </c>
      <c r="AF63" s="2" t="s">
        <v>33</v>
      </c>
      <c r="AG63" s="2" t="s">
        <v>33</v>
      </c>
      <c r="AH63" s="2" t="s">
        <v>33</v>
      </c>
      <c r="AI63" s="10">
        <f t="shared" si="5"/>
        <v>0</v>
      </c>
    </row>
    <row r="64" spans="2:37" x14ac:dyDescent="0.2">
      <c r="C64" t="s">
        <v>9</v>
      </c>
      <c r="I64" s="2" t="s">
        <v>20</v>
      </c>
      <c r="J64" s="2" t="s">
        <v>20</v>
      </c>
      <c r="P64" s="2" t="s">
        <v>20</v>
      </c>
      <c r="Q64" s="2" t="s">
        <v>20</v>
      </c>
      <c r="W64" s="2" t="s">
        <v>20</v>
      </c>
      <c r="X64" s="2" t="s">
        <v>20</v>
      </c>
      <c r="Y64" s="2" t="s">
        <v>33</v>
      </c>
      <c r="Z64" s="2" t="s">
        <v>33</v>
      </c>
      <c r="AA64" s="2" t="s">
        <v>33</v>
      </c>
      <c r="AB64" s="4" t="s">
        <v>25</v>
      </c>
      <c r="AC64" s="4" t="s">
        <v>25</v>
      </c>
      <c r="AD64" s="2" t="s">
        <v>20</v>
      </c>
      <c r="AE64" s="2" t="s">
        <v>20</v>
      </c>
      <c r="AF64" s="2" t="s">
        <v>33</v>
      </c>
      <c r="AG64" s="2" t="s">
        <v>33</v>
      </c>
      <c r="AH64" s="2" t="s">
        <v>33</v>
      </c>
      <c r="AI64" s="10">
        <f t="shared" si="5"/>
        <v>0</v>
      </c>
    </row>
    <row r="65" spans="2:37" s="1" customFormat="1" x14ac:dyDescent="0.2">
      <c r="AI65" s="11">
        <f>SUM(AI56:AI64)</f>
        <v>120</v>
      </c>
      <c r="AK65" s="1">
        <f>SUM(AI65,AJ56:AK56)</f>
        <v>184</v>
      </c>
    </row>
    <row r="66" spans="2:37" x14ac:dyDescent="0.2">
      <c r="B66" t="s">
        <v>41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B4B3-2699-4837-9C4B-617F394FAF09}">
  <dimension ref="A1:AK56"/>
  <sheetViews>
    <sheetView zoomScale="110" zoomScaleNormal="110" workbookViewId="0">
      <selection activeCell="J61" sqref="J61"/>
    </sheetView>
  </sheetViews>
  <sheetFormatPr baseColWidth="10" defaultRowHeight="15" x14ac:dyDescent="0.2"/>
  <cols>
    <col min="1" max="2" width="14.83203125" customWidth="1"/>
    <col min="3" max="3" width="16.1640625" customWidth="1"/>
    <col min="35" max="35" width="15.33203125" style="10" customWidth="1"/>
    <col min="36" max="36" width="15.33203125" customWidth="1"/>
  </cols>
  <sheetData>
    <row r="1" spans="1:37" x14ac:dyDescent="0.2">
      <c r="A1" t="s">
        <v>3</v>
      </c>
      <c r="B1" s="8">
        <v>2025</v>
      </c>
      <c r="F1" t="s">
        <v>21</v>
      </c>
      <c r="AA1" s="5">
        <v>46015</v>
      </c>
      <c r="AB1" t="s">
        <v>27</v>
      </c>
    </row>
    <row r="2" spans="1:37" x14ac:dyDescent="0.2">
      <c r="A2" t="s">
        <v>2</v>
      </c>
      <c r="B2" s="6" t="s">
        <v>17</v>
      </c>
      <c r="C2" s="7"/>
      <c r="F2" t="s">
        <v>22</v>
      </c>
      <c r="AA2" s="5">
        <v>46022</v>
      </c>
      <c r="AB2" t="s">
        <v>27</v>
      </c>
    </row>
    <row r="3" spans="1:37" x14ac:dyDescent="0.2">
      <c r="F3" t="s">
        <v>23</v>
      </c>
    </row>
    <row r="4" spans="1:37" x14ac:dyDescent="0.2">
      <c r="F4" t="s">
        <v>24</v>
      </c>
    </row>
    <row r="5" spans="1:37" x14ac:dyDescent="0.2">
      <c r="F5" t="s">
        <v>26</v>
      </c>
    </row>
    <row r="7" spans="1:37" x14ac:dyDescent="0.2">
      <c r="D7" s="1" t="s">
        <v>4</v>
      </c>
    </row>
    <row r="8" spans="1:37" s="3" customFormat="1" x14ac:dyDescent="0.2">
      <c r="A8" s="3" t="s">
        <v>0</v>
      </c>
      <c r="B8" s="3" t="s">
        <v>0</v>
      </c>
      <c r="C8" s="3" t="s">
        <v>1</v>
      </c>
      <c r="D8" s="3">
        <v>1</v>
      </c>
      <c r="E8" s="3">
        <v>2</v>
      </c>
      <c r="F8" s="3">
        <v>3</v>
      </c>
      <c r="G8" s="3">
        <v>4</v>
      </c>
      <c r="H8" s="3">
        <v>5</v>
      </c>
      <c r="I8" s="3">
        <v>6</v>
      </c>
      <c r="J8" s="3">
        <v>7</v>
      </c>
      <c r="K8" s="3">
        <v>8</v>
      </c>
      <c r="L8" s="3">
        <v>9</v>
      </c>
      <c r="M8" s="3">
        <v>10</v>
      </c>
      <c r="N8" s="3">
        <v>11</v>
      </c>
      <c r="O8" s="3">
        <v>12</v>
      </c>
      <c r="P8" s="3">
        <v>13</v>
      </c>
      <c r="Q8" s="3">
        <v>14</v>
      </c>
      <c r="R8" s="3">
        <v>15</v>
      </c>
      <c r="S8" s="3">
        <v>16</v>
      </c>
      <c r="T8" s="3">
        <v>17</v>
      </c>
      <c r="U8" s="3">
        <v>18</v>
      </c>
      <c r="V8" s="3">
        <v>19</v>
      </c>
      <c r="W8" s="3">
        <v>20</v>
      </c>
      <c r="X8" s="3">
        <v>21</v>
      </c>
      <c r="Y8" s="3">
        <v>22</v>
      </c>
      <c r="Z8" s="3">
        <v>23</v>
      </c>
      <c r="AA8" s="3">
        <v>24</v>
      </c>
      <c r="AB8" s="3">
        <v>25</v>
      </c>
      <c r="AC8" s="3">
        <v>26</v>
      </c>
      <c r="AD8" s="3">
        <v>27</v>
      </c>
      <c r="AE8" s="3">
        <v>28</v>
      </c>
      <c r="AF8" s="3">
        <v>29</v>
      </c>
      <c r="AG8" s="3">
        <v>30</v>
      </c>
      <c r="AH8" s="3">
        <v>31</v>
      </c>
      <c r="AI8" s="11" t="s">
        <v>34</v>
      </c>
      <c r="AJ8" s="3" t="s">
        <v>36</v>
      </c>
      <c r="AK8" s="3" t="s">
        <v>37</v>
      </c>
    </row>
    <row r="9" spans="1:37" x14ac:dyDescent="0.2">
      <c r="B9" t="s">
        <v>5</v>
      </c>
      <c r="C9" t="s">
        <v>6</v>
      </c>
      <c r="E9" s="2" t="s">
        <v>20</v>
      </c>
      <c r="F9" s="2" t="s">
        <v>20</v>
      </c>
      <c r="L9" s="2" t="s">
        <v>20</v>
      </c>
      <c r="M9" s="2" t="s">
        <v>20</v>
      </c>
      <c r="S9" s="2" t="s">
        <v>20</v>
      </c>
      <c r="T9" s="2" t="s">
        <v>20</v>
      </c>
      <c r="Z9" s="2" t="s">
        <v>20</v>
      </c>
      <c r="AA9" s="2" t="s">
        <v>20</v>
      </c>
      <c r="AG9" s="2" t="s">
        <v>20</v>
      </c>
      <c r="AH9" s="2" t="s">
        <v>20</v>
      </c>
      <c r="AI9" s="10">
        <f>SUM(D9,G9:K9,N9:R9,U9:Y9,AB9:AF9)</f>
        <v>0</v>
      </c>
      <c r="AJ9">
        <v>0</v>
      </c>
      <c r="AK9">
        <v>0</v>
      </c>
    </row>
    <row r="10" spans="1:37" x14ac:dyDescent="0.2">
      <c r="C10" t="s">
        <v>10</v>
      </c>
      <c r="E10" s="2" t="s">
        <v>20</v>
      </c>
      <c r="F10" s="2" t="s">
        <v>20</v>
      </c>
      <c r="L10" s="2" t="s">
        <v>20</v>
      </c>
      <c r="M10" s="2" t="s">
        <v>20</v>
      </c>
      <c r="S10" s="2" t="s">
        <v>20</v>
      </c>
      <c r="T10" s="2" t="s">
        <v>20</v>
      </c>
      <c r="Z10" s="2" t="s">
        <v>20</v>
      </c>
      <c r="AA10" s="2" t="s">
        <v>20</v>
      </c>
      <c r="AG10" s="2" t="s">
        <v>20</v>
      </c>
      <c r="AH10" s="2" t="s">
        <v>20</v>
      </c>
      <c r="AI10" s="10">
        <f t="shared" ref="AI10:AI16" si="0">SUM(D10,G10:K10,N10:R10,U10:Y10,AB10:AF10)</f>
        <v>0</v>
      </c>
    </row>
    <row r="11" spans="1:37" x14ac:dyDescent="0.2">
      <c r="B11" t="s">
        <v>28</v>
      </c>
      <c r="C11" t="s">
        <v>8</v>
      </c>
      <c r="E11" s="2" t="s">
        <v>20</v>
      </c>
      <c r="F11" s="2" t="s">
        <v>20</v>
      </c>
      <c r="L11" s="2" t="s">
        <v>20</v>
      </c>
      <c r="M11" s="2" t="s">
        <v>20</v>
      </c>
      <c r="S11" s="2" t="s">
        <v>20</v>
      </c>
      <c r="T11" s="2" t="s">
        <v>20</v>
      </c>
      <c r="Z11" s="2" t="s">
        <v>20</v>
      </c>
      <c r="AA11" s="2" t="s">
        <v>20</v>
      </c>
      <c r="AG11" s="2" t="s">
        <v>20</v>
      </c>
      <c r="AH11" s="2" t="s">
        <v>20</v>
      </c>
      <c r="AI11" s="10">
        <f t="shared" si="0"/>
        <v>0</v>
      </c>
    </row>
    <row r="12" spans="1:37" x14ac:dyDescent="0.2">
      <c r="C12" t="s">
        <v>13</v>
      </c>
      <c r="E12" s="2" t="s">
        <v>20</v>
      </c>
      <c r="F12" s="2" t="s">
        <v>20</v>
      </c>
      <c r="L12" s="2" t="s">
        <v>20</v>
      </c>
      <c r="M12" s="2" t="s">
        <v>20</v>
      </c>
      <c r="S12" s="2" t="s">
        <v>20</v>
      </c>
      <c r="T12" s="2" t="s">
        <v>20</v>
      </c>
      <c r="Z12" s="2" t="s">
        <v>20</v>
      </c>
      <c r="AA12" s="2" t="s">
        <v>20</v>
      </c>
      <c r="AG12" s="2" t="s">
        <v>20</v>
      </c>
      <c r="AH12" s="2" t="s">
        <v>20</v>
      </c>
      <c r="AI12" s="10">
        <f t="shared" si="0"/>
        <v>0</v>
      </c>
    </row>
    <row r="13" spans="1:37" x14ac:dyDescent="0.2">
      <c r="B13" s="6">
        <v>168</v>
      </c>
      <c r="C13" t="s">
        <v>11</v>
      </c>
      <c r="E13" s="2" t="s">
        <v>20</v>
      </c>
      <c r="F13" s="2" t="s">
        <v>20</v>
      </c>
      <c r="L13" s="2" t="s">
        <v>20</v>
      </c>
      <c r="M13" s="2" t="s">
        <v>20</v>
      </c>
      <c r="S13" s="2" t="s">
        <v>20</v>
      </c>
      <c r="T13" s="2" t="s">
        <v>20</v>
      </c>
      <c r="Z13" s="2" t="s">
        <v>20</v>
      </c>
      <c r="AA13" s="2" t="s">
        <v>20</v>
      </c>
      <c r="AG13" s="2" t="s">
        <v>20</v>
      </c>
      <c r="AH13" s="2" t="s">
        <v>20</v>
      </c>
      <c r="AI13" s="10">
        <f t="shared" si="0"/>
        <v>0</v>
      </c>
    </row>
    <row r="14" spans="1:37" x14ac:dyDescent="0.2">
      <c r="C14" t="s">
        <v>7</v>
      </c>
      <c r="E14" s="2" t="s">
        <v>20</v>
      </c>
      <c r="F14" s="2" t="s">
        <v>20</v>
      </c>
      <c r="L14" s="2" t="s">
        <v>20</v>
      </c>
      <c r="M14" s="2" t="s">
        <v>20</v>
      </c>
      <c r="S14" s="2" t="s">
        <v>20</v>
      </c>
      <c r="T14" s="2" t="s">
        <v>20</v>
      </c>
      <c r="Z14" s="2" t="s">
        <v>20</v>
      </c>
      <c r="AA14" s="2" t="s">
        <v>20</v>
      </c>
      <c r="AG14" s="2" t="s">
        <v>20</v>
      </c>
      <c r="AH14" s="2" t="s">
        <v>20</v>
      </c>
      <c r="AI14" s="10">
        <f t="shared" si="0"/>
        <v>0</v>
      </c>
    </row>
    <row r="15" spans="1:37" x14ac:dyDescent="0.2">
      <c r="C15" t="s">
        <v>12</v>
      </c>
      <c r="E15" s="2" t="s">
        <v>20</v>
      </c>
      <c r="F15" s="2" t="s">
        <v>20</v>
      </c>
      <c r="L15" s="2" t="s">
        <v>20</v>
      </c>
      <c r="M15" s="2" t="s">
        <v>20</v>
      </c>
      <c r="S15" s="2" t="s">
        <v>20</v>
      </c>
      <c r="T15" s="2" t="s">
        <v>20</v>
      </c>
      <c r="Z15" s="2" t="s">
        <v>20</v>
      </c>
      <c r="AA15" s="2" t="s">
        <v>20</v>
      </c>
      <c r="AG15" s="2" t="s">
        <v>20</v>
      </c>
      <c r="AH15" s="2" t="s">
        <v>20</v>
      </c>
      <c r="AI15" s="10">
        <f t="shared" si="0"/>
        <v>0</v>
      </c>
    </row>
    <row r="16" spans="1:37" x14ac:dyDescent="0.2">
      <c r="C16" t="s">
        <v>9</v>
      </c>
      <c r="E16" s="2" t="s">
        <v>20</v>
      </c>
      <c r="F16" s="2" t="s">
        <v>20</v>
      </c>
      <c r="L16" s="2" t="s">
        <v>20</v>
      </c>
      <c r="M16" s="2" t="s">
        <v>20</v>
      </c>
      <c r="S16" s="2" t="s">
        <v>20</v>
      </c>
      <c r="T16" s="2" t="s">
        <v>20</v>
      </c>
      <c r="Z16" s="2" t="s">
        <v>20</v>
      </c>
      <c r="AA16" s="2" t="s">
        <v>20</v>
      </c>
      <c r="AG16" s="2" t="s">
        <v>20</v>
      </c>
      <c r="AH16" s="2" t="s">
        <v>20</v>
      </c>
      <c r="AI16" s="10">
        <f t="shared" si="0"/>
        <v>0</v>
      </c>
    </row>
    <row r="17" spans="2:37" s="1" customFormat="1" x14ac:dyDescent="0.2">
      <c r="AI17" s="11">
        <f>SUM(AI9:AI16)</f>
        <v>0</v>
      </c>
      <c r="AK17" s="1">
        <f>SUM(AI17,AJ9:AK9)</f>
        <v>0</v>
      </c>
    </row>
    <row r="18" spans="2:37" x14ac:dyDescent="0.2">
      <c r="B18" t="s">
        <v>14</v>
      </c>
      <c r="C18" t="s">
        <v>6</v>
      </c>
      <c r="I18" s="2" t="s">
        <v>20</v>
      </c>
      <c r="J18" s="2" t="s">
        <v>20</v>
      </c>
      <c r="P18" s="2" t="s">
        <v>20</v>
      </c>
      <c r="Q18" s="2" t="s">
        <v>20</v>
      </c>
      <c r="W18" s="2" t="s">
        <v>20</v>
      </c>
      <c r="X18" s="2" t="s">
        <v>20</v>
      </c>
      <c r="AD18" s="2" t="s">
        <v>20</v>
      </c>
      <c r="AE18" s="2" t="s">
        <v>20</v>
      </c>
      <c r="AG18" s="2"/>
      <c r="AH18" s="9"/>
      <c r="AI18" s="10">
        <f>SUM(D18:H18,K18:O18,R18:V18,Y18:AC18,AF18:AG18)</f>
        <v>0</v>
      </c>
      <c r="AJ18">
        <v>0</v>
      </c>
      <c r="AK18">
        <v>0</v>
      </c>
    </row>
    <row r="19" spans="2:37" x14ac:dyDescent="0.2">
      <c r="C19" t="s">
        <v>10</v>
      </c>
      <c r="I19" s="2" t="s">
        <v>20</v>
      </c>
      <c r="J19" s="2" t="s">
        <v>20</v>
      </c>
      <c r="P19" s="2" t="s">
        <v>20</v>
      </c>
      <c r="Q19" s="2" t="s">
        <v>20</v>
      </c>
      <c r="W19" s="2" t="s">
        <v>20</v>
      </c>
      <c r="X19" s="2" t="s">
        <v>20</v>
      </c>
      <c r="AD19" s="2" t="s">
        <v>20</v>
      </c>
      <c r="AE19" s="2" t="s">
        <v>20</v>
      </c>
      <c r="AH19" s="9"/>
      <c r="AI19" s="10">
        <f t="shared" ref="AI19:AI25" si="1">SUM(D19:H19,K19:O19,R19:V19,Y19:AC19,AF19:AG19)</f>
        <v>0</v>
      </c>
    </row>
    <row r="20" spans="2:37" x14ac:dyDescent="0.2">
      <c r="B20" t="s">
        <v>29</v>
      </c>
      <c r="C20" t="s">
        <v>8</v>
      </c>
      <c r="I20" s="2" t="s">
        <v>20</v>
      </c>
      <c r="J20" s="2" t="s">
        <v>20</v>
      </c>
      <c r="P20" s="2" t="s">
        <v>20</v>
      </c>
      <c r="Q20" s="2" t="s">
        <v>20</v>
      </c>
      <c r="W20" s="2" t="s">
        <v>20</v>
      </c>
      <c r="X20" s="2" t="s">
        <v>20</v>
      </c>
      <c r="AD20" s="2" t="s">
        <v>20</v>
      </c>
      <c r="AE20" s="2" t="s">
        <v>20</v>
      </c>
      <c r="AH20" s="9"/>
      <c r="AI20" s="10">
        <f t="shared" si="1"/>
        <v>0</v>
      </c>
    </row>
    <row r="21" spans="2:37" x14ac:dyDescent="0.2">
      <c r="C21" t="s">
        <v>13</v>
      </c>
      <c r="I21" s="2" t="s">
        <v>20</v>
      </c>
      <c r="J21" s="2" t="s">
        <v>20</v>
      </c>
      <c r="P21" s="2" t="s">
        <v>20</v>
      </c>
      <c r="Q21" s="2" t="s">
        <v>20</v>
      </c>
      <c r="W21" s="2" t="s">
        <v>20</v>
      </c>
      <c r="X21" s="2" t="s">
        <v>20</v>
      </c>
      <c r="AD21" s="2" t="s">
        <v>20</v>
      </c>
      <c r="AE21" s="2" t="s">
        <v>20</v>
      </c>
      <c r="AH21" s="9"/>
      <c r="AI21" s="10">
        <f t="shared" si="1"/>
        <v>0</v>
      </c>
    </row>
    <row r="22" spans="2:37" x14ac:dyDescent="0.2">
      <c r="B22" s="6">
        <v>176</v>
      </c>
      <c r="C22" t="s">
        <v>11</v>
      </c>
      <c r="I22" s="2" t="s">
        <v>20</v>
      </c>
      <c r="J22" s="2" t="s">
        <v>20</v>
      </c>
      <c r="P22" s="2" t="s">
        <v>20</v>
      </c>
      <c r="Q22" s="2" t="s">
        <v>20</v>
      </c>
      <c r="W22" s="2" t="s">
        <v>20</v>
      </c>
      <c r="X22" s="2" t="s">
        <v>20</v>
      </c>
      <c r="AD22" s="2" t="s">
        <v>20</v>
      </c>
      <c r="AE22" s="2" t="s">
        <v>20</v>
      </c>
      <c r="AH22" s="9"/>
      <c r="AI22" s="10">
        <f t="shared" si="1"/>
        <v>0</v>
      </c>
    </row>
    <row r="23" spans="2:37" x14ac:dyDescent="0.2">
      <c r="C23" t="s">
        <v>7</v>
      </c>
      <c r="I23" s="2" t="s">
        <v>20</v>
      </c>
      <c r="J23" s="2" t="s">
        <v>20</v>
      </c>
      <c r="P23" s="2" t="s">
        <v>20</v>
      </c>
      <c r="Q23" s="2" t="s">
        <v>20</v>
      </c>
      <c r="W23" s="2" t="s">
        <v>20</v>
      </c>
      <c r="X23" s="2" t="s">
        <v>20</v>
      </c>
      <c r="AD23" s="2" t="s">
        <v>20</v>
      </c>
      <c r="AE23" s="2" t="s">
        <v>20</v>
      </c>
      <c r="AH23" s="9"/>
      <c r="AI23" s="10">
        <f t="shared" si="1"/>
        <v>0</v>
      </c>
    </row>
    <row r="24" spans="2:37" x14ac:dyDescent="0.2">
      <c r="C24" t="s">
        <v>12</v>
      </c>
      <c r="I24" s="2" t="s">
        <v>20</v>
      </c>
      <c r="J24" s="2" t="s">
        <v>20</v>
      </c>
      <c r="P24" s="2" t="s">
        <v>20</v>
      </c>
      <c r="Q24" s="2" t="s">
        <v>20</v>
      </c>
      <c r="W24" s="2" t="s">
        <v>20</v>
      </c>
      <c r="X24" s="2" t="s">
        <v>20</v>
      </c>
      <c r="AD24" s="2" t="s">
        <v>20</v>
      </c>
      <c r="AE24" s="2" t="s">
        <v>20</v>
      </c>
      <c r="AH24" s="9"/>
      <c r="AI24" s="10">
        <f t="shared" si="1"/>
        <v>0</v>
      </c>
    </row>
    <row r="25" spans="2:37" x14ac:dyDescent="0.2">
      <c r="C25" t="s">
        <v>9</v>
      </c>
      <c r="I25" s="2" t="s">
        <v>20</v>
      </c>
      <c r="J25" s="2" t="s">
        <v>20</v>
      </c>
      <c r="P25" s="2" t="s">
        <v>20</v>
      </c>
      <c r="Q25" s="2" t="s">
        <v>20</v>
      </c>
      <c r="W25" s="2" t="s">
        <v>20</v>
      </c>
      <c r="X25" s="2" t="s">
        <v>20</v>
      </c>
      <c r="AD25" s="2" t="s">
        <v>20</v>
      </c>
      <c r="AE25" s="2" t="s">
        <v>20</v>
      </c>
      <c r="AH25" s="9"/>
      <c r="AI25" s="10">
        <f t="shared" si="1"/>
        <v>0</v>
      </c>
    </row>
    <row r="26" spans="2:37" s="1" customFormat="1" x14ac:dyDescent="0.2">
      <c r="AI26" s="11">
        <f>SUM(AI18:AI25)</f>
        <v>0</v>
      </c>
      <c r="AK26" s="1">
        <f>SUM(AI26,AJ18:AK18)</f>
        <v>0</v>
      </c>
    </row>
    <row r="27" spans="2:37" x14ac:dyDescent="0.2">
      <c r="B27" t="s">
        <v>15</v>
      </c>
      <c r="C27" t="s">
        <v>16</v>
      </c>
      <c r="F27" s="4" t="s">
        <v>25</v>
      </c>
      <c r="G27" s="2" t="s">
        <v>20</v>
      </c>
      <c r="H27" s="2" t="s">
        <v>20</v>
      </c>
      <c r="N27" s="2" t="s">
        <v>20</v>
      </c>
      <c r="O27" s="2" t="s">
        <v>20</v>
      </c>
      <c r="U27" s="2" t="s">
        <v>20</v>
      </c>
      <c r="V27" s="2" t="s">
        <v>20</v>
      </c>
      <c r="AB27" s="2" t="s">
        <v>20</v>
      </c>
      <c r="AC27" s="2" t="s">
        <v>20</v>
      </c>
      <c r="AH27" s="4" t="s">
        <v>25</v>
      </c>
      <c r="AI27" s="10">
        <f>SUM(D27:E27,I27:M27,P27:T27,W27:AA27,AD27:AG27)</f>
        <v>0</v>
      </c>
      <c r="AK27">
        <v>0</v>
      </c>
    </row>
    <row r="28" spans="2:37" x14ac:dyDescent="0.2">
      <c r="C28" t="s">
        <v>10</v>
      </c>
      <c r="F28" s="4" t="s">
        <v>25</v>
      </c>
      <c r="G28" s="2" t="s">
        <v>20</v>
      </c>
      <c r="H28" s="2" t="s">
        <v>20</v>
      </c>
      <c r="N28" s="2" t="s">
        <v>20</v>
      </c>
      <c r="O28" s="2" t="s">
        <v>20</v>
      </c>
      <c r="U28" s="2" t="s">
        <v>20</v>
      </c>
      <c r="V28" s="2" t="s">
        <v>20</v>
      </c>
      <c r="AB28" s="2" t="s">
        <v>20</v>
      </c>
      <c r="AC28" s="2" t="s">
        <v>20</v>
      </c>
      <c r="AH28" s="4" t="s">
        <v>25</v>
      </c>
      <c r="AI28" s="10">
        <f t="shared" ref="AI28:AI35" si="2">SUM(D28:E28,I28:M28,P28:T28,W28:AA28,AD28:AG28)</f>
        <v>0</v>
      </c>
    </row>
    <row r="29" spans="2:37" x14ac:dyDescent="0.2">
      <c r="B29" t="s">
        <v>29</v>
      </c>
      <c r="C29" t="s">
        <v>8</v>
      </c>
      <c r="F29" s="4" t="s">
        <v>25</v>
      </c>
      <c r="G29" s="2" t="s">
        <v>20</v>
      </c>
      <c r="H29" s="2" t="s">
        <v>20</v>
      </c>
      <c r="N29" s="2" t="s">
        <v>20</v>
      </c>
      <c r="O29" s="2" t="s">
        <v>20</v>
      </c>
      <c r="U29" s="2" t="s">
        <v>20</v>
      </c>
      <c r="V29" s="2" t="s">
        <v>20</v>
      </c>
      <c r="AB29" s="2" t="s">
        <v>20</v>
      </c>
      <c r="AC29" s="2" t="s">
        <v>20</v>
      </c>
      <c r="AH29" s="4" t="s">
        <v>25</v>
      </c>
      <c r="AI29" s="10">
        <f>SUM(D29:E29,I29:M29,P29:T29,W29:AA29,AD29:AG29)</f>
        <v>0</v>
      </c>
    </row>
    <row r="30" spans="2:37" x14ac:dyDescent="0.2">
      <c r="B30" t="s">
        <v>30</v>
      </c>
      <c r="C30" t="s">
        <v>13</v>
      </c>
      <c r="F30" s="4" t="s">
        <v>25</v>
      </c>
      <c r="G30" s="2" t="s">
        <v>20</v>
      </c>
      <c r="H30" s="2" t="s">
        <v>20</v>
      </c>
      <c r="N30" s="2" t="s">
        <v>20</v>
      </c>
      <c r="O30" s="2" t="s">
        <v>20</v>
      </c>
      <c r="U30" s="2" t="s">
        <v>20</v>
      </c>
      <c r="V30" s="2" t="s">
        <v>20</v>
      </c>
      <c r="AB30" s="2" t="s">
        <v>20</v>
      </c>
      <c r="AC30" s="2" t="s">
        <v>20</v>
      </c>
      <c r="AH30" s="4" t="s">
        <v>25</v>
      </c>
      <c r="AI30" s="10">
        <f>SUM(D30:E30,I30:M30,P30:T30,W30:AA30,AD30:AG30)</f>
        <v>0</v>
      </c>
    </row>
    <row r="31" spans="2:37" x14ac:dyDescent="0.2">
      <c r="B31" s="6">
        <v>184</v>
      </c>
      <c r="C31" t="s">
        <v>11</v>
      </c>
      <c r="F31" s="4" t="s">
        <v>25</v>
      </c>
      <c r="G31" s="2" t="s">
        <v>20</v>
      </c>
      <c r="H31" s="2" t="s">
        <v>20</v>
      </c>
      <c r="N31" s="2" t="s">
        <v>20</v>
      </c>
      <c r="O31" s="2" t="s">
        <v>20</v>
      </c>
      <c r="U31" s="2" t="s">
        <v>20</v>
      </c>
      <c r="V31" s="2" t="s">
        <v>20</v>
      </c>
      <c r="AB31" s="2" t="s">
        <v>20</v>
      </c>
      <c r="AC31" s="2" t="s">
        <v>20</v>
      </c>
      <c r="AH31" s="4" t="s">
        <v>25</v>
      </c>
      <c r="AI31" s="10">
        <f t="shared" si="2"/>
        <v>0</v>
      </c>
    </row>
    <row r="32" spans="2:37" x14ac:dyDescent="0.2">
      <c r="C32" t="s">
        <v>35</v>
      </c>
      <c r="F32" s="4" t="s">
        <v>25</v>
      </c>
      <c r="G32" s="2" t="s">
        <v>20</v>
      </c>
      <c r="H32" s="2" t="s">
        <v>20</v>
      </c>
      <c r="N32" s="2" t="s">
        <v>20</v>
      </c>
      <c r="O32" s="2" t="s">
        <v>20</v>
      </c>
      <c r="U32" s="2" t="s">
        <v>20</v>
      </c>
      <c r="V32" s="2" t="s">
        <v>20</v>
      </c>
      <c r="AB32" s="2" t="s">
        <v>20</v>
      </c>
      <c r="AC32" s="2" t="s">
        <v>20</v>
      </c>
      <c r="AH32" s="4" t="s">
        <v>25</v>
      </c>
      <c r="AI32" s="10">
        <v>0</v>
      </c>
    </row>
    <row r="33" spans="2:37" x14ac:dyDescent="0.2">
      <c r="C33" t="s">
        <v>7</v>
      </c>
      <c r="F33" s="4" t="s">
        <v>25</v>
      </c>
      <c r="G33" s="2" t="s">
        <v>20</v>
      </c>
      <c r="H33" s="2" t="s">
        <v>20</v>
      </c>
      <c r="N33" s="2" t="s">
        <v>20</v>
      </c>
      <c r="O33" s="2" t="s">
        <v>20</v>
      </c>
      <c r="U33" s="2" t="s">
        <v>20</v>
      </c>
      <c r="V33" s="2" t="s">
        <v>20</v>
      </c>
      <c r="AB33" s="2" t="s">
        <v>20</v>
      </c>
      <c r="AC33" s="2" t="s">
        <v>20</v>
      </c>
      <c r="AH33" s="4" t="s">
        <v>25</v>
      </c>
      <c r="AI33" s="10">
        <f t="shared" si="2"/>
        <v>0</v>
      </c>
    </row>
    <row r="34" spans="2:37" x14ac:dyDescent="0.2">
      <c r="C34" t="s">
        <v>12</v>
      </c>
      <c r="F34" s="4" t="s">
        <v>25</v>
      </c>
      <c r="G34" s="2" t="s">
        <v>20</v>
      </c>
      <c r="H34" s="2" t="s">
        <v>20</v>
      </c>
      <c r="N34" s="2" t="s">
        <v>20</v>
      </c>
      <c r="O34" s="2" t="s">
        <v>20</v>
      </c>
      <c r="U34" s="2" t="s">
        <v>20</v>
      </c>
      <c r="V34" s="2" t="s">
        <v>20</v>
      </c>
      <c r="AB34" s="2" t="s">
        <v>20</v>
      </c>
      <c r="AC34" s="2" t="s">
        <v>20</v>
      </c>
      <c r="AH34" s="4" t="s">
        <v>25</v>
      </c>
      <c r="AI34" s="10">
        <f t="shared" si="2"/>
        <v>0</v>
      </c>
    </row>
    <row r="35" spans="2:37" x14ac:dyDescent="0.2">
      <c r="C35" t="s">
        <v>9</v>
      </c>
      <c r="F35" s="4" t="s">
        <v>25</v>
      </c>
      <c r="G35" s="2" t="s">
        <v>20</v>
      </c>
      <c r="H35" s="2" t="s">
        <v>20</v>
      </c>
      <c r="N35" s="2" t="s">
        <v>20</v>
      </c>
      <c r="O35" s="2" t="s">
        <v>20</v>
      </c>
      <c r="U35" s="2" t="s">
        <v>20</v>
      </c>
      <c r="V35" s="2" t="s">
        <v>20</v>
      </c>
      <c r="AB35" s="2" t="s">
        <v>20</v>
      </c>
      <c r="AC35" s="2" t="s">
        <v>20</v>
      </c>
      <c r="AH35" s="4" t="s">
        <v>25</v>
      </c>
      <c r="AI35" s="10">
        <f t="shared" si="2"/>
        <v>0</v>
      </c>
    </row>
    <row r="36" spans="2:37" s="1" customFormat="1" x14ac:dyDescent="0.2">
      <c r="AI36" s="11">
        <f>SUM(AI27:AI35)</f>
        <v>0</v>
      </c>
      <c r="AK36" s="1">
        <f>SUM(AI36,AJ27:AK27)</f>
        <v>0</v>
      </c>
    </row>
    <row r="37" spans="2:37" x14ac:dyDescent="0.2">
      <c r="B37" t="s">
        <v>18</v>
      </c>
      <c r="C37" t="s">
        <v>16</v>
      </c>
      <c r="D37" s="2" t="s">
        <v>20</v>
      </c>
      <c r="E37" s="2" t="s">
        <v>20</v>
      </c>
      <c r="K37" s="2" t="s">
        <v>20</v>
      </c>
      <c r="L37" s="2" t="s">
        <v>20</v>
      </c>
      <c r="R37" s="2" t="s">
        <v>20</v>
      </c>
      <c r="S37" s="2" t="s">
        <v>20</v>
      </c>
      <c r="Y37" s="2" t="s">
        <v>20</v>
      </c>
      <c r="Z37" s="2" t="s">
        <v>20</v>
      </c>
      <c r="AF37" s="2" t="s">
        <v>20</v>
      </c>
      <c r="AG37" s="2" t="s">
        <v>20</v>
      </c>
      <c r="AH37" s="9"/>
      <c r="AI37" s="10">
        <f>SUM(F37:J37,M37:Q37,T37:X37,AA37:AE37)</f>
        <v>0</v>
      </c>
    </row>
    <row r="38" spans="2:37" x14ac:dyDescent="0.2">
      <c r="C38" t="s">
        <v>10</v>
      </c>
      <c r="D38" s="2" t="s">
        <v>20</v>
      </c>
      <c r="E38" s="2" t="s">
        <v>20</v>
      </c>
      <c r="K38" s="2" t="s">
        <v>20</v>
      </c>
      <c r="L38" s="2" t="s">
        <v>20</v>
      </c>
      <c r="R38" s="2" t="s">
        <v>20</v>
      </c>
      <c r="S38" s="2" t="s">
        <v>20</v>
      </c>
      <c r="Y38" s="2" t="s">
        <v>20</v>
      </c>
      <c r="Z38" s="2" t="s">
        <v>20</v>
      </c>
      <c r="AF38" s="2" t="s">
        <v>20</v>
      </c>
      <c r="AG38" s="2" t="s">
        <v>20</v>
      </c>
      <c r="AH38" s="9"/>
      <c r="AI38" s="10">
        <f t="shared" ref="AI38:AI45" si="3">SUM(F38:J38,M38:Q38,T38:X38,AA38:AE38)</f>
        <v>0</v>
      </c>
    </row>
    <row r="39" spans="2:37" x14ac:dyDescent="0.2">
      <c r="B39" t="s">
        <v>31</v>
      </c>
      <c r="C39" t="s">
        <v>8</v>
      </c>
      <c r="D39" s="2" t="s">
        <v>20</v>
      </c>
      <c r="E39" s="2" t="s">
        <v>20</v>
      </c>
      <c r="K39" s="2" t="s">
        <v>20</v>
      </c>
      <c r="L39" s="2" t="s">
        <v>20</v>
      </c>
      <c r="R39" s="2" t="s">
        <v>20</v>
      </c>
      <c r="S39" s="2" t="s">
        <v>20</v>
      </c>
      <c r="Y39" s="2" t="s">
        <v>20</v>
      </c>
      <c r="Z39" s="2" t="s">
        <v>20</v>
      </c>
      <c r="AF39" s="2" t="s">
        <v>20</v>
      </c>
      <c r="AG39" s="2" t="s">
        <v>20</v>
      </c>
      <c r="AH39" s="9"/>
      <c r="AI39" s="10">
        <f t="shared" si="3"/>
        <v>0</v>
      </c>
    </row>
    <row r="40" spans="2:37" x14ac:dyDescent="0.2">
      <c r="C40" t="s">
        <v>13</v>
      </c>
      <c r="D40" s="2" t="s">
        <v>20</v>
      </c>
      <c r="E40" s="2" t="s">
        <v>20</v>
      </c>
      <c r="K40" s="2" t="s">
        <v>20</v>
      </c>
      <c r="L40" s="2" t="s">
        <v>20</v>
      </c>
      <c r="R40" s="2" t="s">
        <v>20</v>
      </c>
      <c r="S40" s="2" t="s">
        <v>20</v>
      </c>
      <c r="Y40" s="2" t="s">
        <v>20</v>
      </c>
      <c r="Z40" s="2" t="s">
        <v>20</v>
      </c>
      <c r="AF40" s="2" t="s">
        <v>20</v>
      </c>
      <c r="AG40" s="2" t="s">
        <v>20</v>
      </c>
      <c r="AH40" s="9"/>
      <c r="AI40" s="10">
        <f t="shared" si="3"/>
        <v>0</v>
      </c>
    </row>
    <row r="41" spans="2:37" x14ac:dyDescent="0.2">
      <c r="B41" s="6">
        <v>160</v>
      </c>
      <c r="C41" t="s">
        <v>11</v>
      </c>
      <c r="D41" s="2" t="s">
        <v>20</v>
      </c>
      <c r="E41" s="2" t="s">
        <v>20</v>
      </c>
      <c r="K41" s="2" t="s">
        <v>20</v>
      </c>
      <c r="L41" s="2" t="s">
        <v>20</v>
      </c>
      <c r="R41" s="2" t="s">
        <v>20</v>
      </c>
      <c r="S41" s="2" t="s">
        <v>20</v>
      </c>
      <c r="Y41" s="2" t="s">
        <v>20</v>
      </c>
      <c r="Z41" s="2" t="s">
        <v>20</v>
      </c>
      <c r="AF41" s="2" t="s">
        <v>20</v>
      </c>
      <c r="AG41" s="2" t="s">
        <v>20</v>
      </c>
      <c r="AH41" s="9"/>
      <c r="AI41" s="10">
        <f t="shared" si="3"/>
        <v>0</v>
      </c>
    </row>
    <row r="42" spans="2:37" x14ac:dyDescent="0.2">
      <c r="C42" t="s">
        <v>35</v>
      </c>
      <c r="D42" s="2" t="s">
        <v>20</v>
      </c>
      <c r="E42" s="2" t="s">
        <v>20</v>
      </c>
      <c r="K42" s="2" t="s">
        <v>20</v>
      </c>
      <c r="L42" s="2" t="s">
        <v>20</v>
      </c>
      <c r="R42" s="2" t="s">
        <v>20</v>
      </c>
      <c r="S42" s="2" t="s">
        <v>20</v>
      </c>
      <c r="Y42" s="2" t="s">
        <v>20</v>
      </c>
      <c r="Z42" s="2" t="s">
        <v>20</v>
      </c>
      <c r="AF42" s="2" t="s">
        <v>20</v>
      </c>
      <c r="AG42" s="2" t="s">
        <v>20</v>
      </c>
      <c r="AH42" s="9"/>
      <c r="AI42" s="10">
        <f t="shared" si="3"/>
        <v>0</v>
      </c>
    </row>
    <row r="43" spans="2:37" x14ac:dyDescent="0.2">
      <c r="C43" t="s">
        <v>7</v>
      </c>
      <c r="D43" s="2" t="s">
        <v>20</v>
      </c>
      <c r="E43" s="2" t="s">
        <v>20</v>
      </c>
      <c r="K43" s="2" t="s">
        <v>20</v>
      </c>
      <c r="L43" s="2" t="s">
        <v>20</v>
      </c>
      <c r="R43" s="2" t="s">
        <v>20</v>
      </c>
      <c r="S43" s="2" t="s">
        <v>20</v>
      </c>
      <c r="Y43" s="2" t="s">
        <v>20</v>
      </c>
      <c r="Z43" s="2" t="s">
        <v>20</v>
      </c>
      <c r="AF43" s="2" t="s">
        <v>20</v>
      </c>
      <c r="AG43" s="2" t="s">
        <v>20</v>
      </c>
      <c r="AH43" s="9"/>
      <c r="AI43" s="10">
        <f t="shared" si="3"/>
        <v>0</v>
      </c>
    </row>
    <row r="44" spans="2:37" x14ac:dyDescent="0.2">
      <c r="C44" t="s">
        <v>12</v>
      </c>
      <c r="D44" s="2" t="s">
        <v>20</v>
      </c>
      <c r="E44" s="2" t="s">
        <v>20</v>
      </c>
      <c r="K44" s="2" t="s">
        <v>20</v>
      </c>
      <c r="L44" s="2" t="s">
        <v>20</v>
      </c>
      <c r="R44" s="2" t="s">
        <v>20</v>
      </c>
      <c r="S44" s="2" t="s">
        <v>20</v>
      </c>
      <c r="Y44" s="2" t="s">
        <v>20</v>
      </c>
      <c r="Z44" s="2" t="s">
        <v>20</v>
      </c>
      <c r="AF44" s="2" t="s">
        <v>20</v>
      </c>
      <c r="AG44" s="2" t="s">
        <v>20</v>
      </c>
      <c r="AH44" s="9"/>
      <c r="AI44" s="10">
        <f t="shared" si="3"/>
        <v>0</v>
      </c>
    </row>
    <row r="45" spans="2:37" x14ac:dyDescent="0.2">
      <c r="C45" t="s">
        <v>9</v>
      </c>
      <c r="D45" s="2" t="s">
        <v>20</v>
      </c>
      <c r="E45" s="2" t="s">
        <v>20</v>
      </c>
      <c r="K45" s="2" t="s">
        <v>20</v>
      </c>
      <c r="L45" s="2" t="s">
        <v>20</v>
      </c>
      <c r="R45" s="2" t="s">
        <v>20</v>
      </c>
      <c r="S45" s="2" t="s">
        <v>20</v>
      </c>
      <c r="Y45" s="2" t="s">
        <v>20</v>
      </c>
      <c r="Z45" s="2" t="s">
        <v>20</v>
      </c>
      <c r="AF45" s="2" t="s">
        <v>20</v>
      </c>
      <c r="AG45" s="2" t="s">
        <v>20</v>
      </c>
      <c r="AH45" s="9"/>
      <c r="AI45" s="10">
        <f t="shared" si="3"/>
        <v>0</v>
      </c>
    </row>
    <row r="46" spans="2:37" s="1" customFormat="1" x14ac:dyDescent="0.2">
      <c r="AI46" s="11">
        <f>SUM(AI37:AI45)</f>
        <v>0</v>
      </c>
      <c r="AK46" s="1">
        <f>SUM(AI46,AJ37:AK37)</f>
        <v>0</v>
      </c>
    </row>
    <row r="47" spans="2:37" x14ac:dyDescent="0.2">
      <c r="B47" t="s">
        <v>19</v>
      </c>
      <c r="C47" t="s">
        <v>16</v>
      </c>
      <c r="I47" s="2" t="s">
        <v>20</v>
      </c>
      <c r="J47" s="2" t="s">
        <v>20</v>
      </c>
      <c r="P47" s="2" t="s">
        <v>20</v>
      </c>
      <c r="Q47" s="2" t="s">
        <v>20</v>
      </c>
      <c r="W47" s="2" t="s">
        <v>20</v>
      </c>
      <c r="X47" s="2" t="s">
        <v>20</v>
      </c>
      <c r="Y47" s="2" t="s">
        <v>33</v>
      </c>
      <c r="Z47" s="2" t="s">
        <v>33</v>
      </c>
      <c r="AA47" s="2" t="s">
        <v>33</v>
      </c>
      <c r="AB47" s="4" t="s">
        <v>25</v>
      </c>
      <c r="AC47" s="4" t="s">
        <v>25</v>
      </c>
      <c r="AD47" s="2" t="s">
        <v>20</v>
      </c>
      <c r="AE47" s="2" t="s">
        <v>20</v>
      </c>
      <c r="AF47" s="2" t="s">
        <v>33</v>
      </c>
      <c r="AG47" s="2" t="s">
        <v>33</v>
      </c>
      <c r="AH47" s="2" t="s">
        <v>33</v>
      </c>
      <c r="AI47" s="10">
        <f>SUM(D47:H47,K47:O47,R47:V47)</f>
        <v>0</v>
      </c>
      <c r="AJ47">
        <v>0</v>
      </c>
      <c r="AK47">
        <v>0</v>
      </c>
    </row>
    <row r="48" spans="2:37" x14ac:dyDescent="0.2">
      <c r="C48" t="s">
        <v>10</v>
      </c>
      <c r="I48" s="2" t="s">
        <v>20</v>
      </c>
      <c r="J48" s="2" t="s">
        <v>20</v>
      </c>
      <c r="P48" s="2" t="s">
        <v>20</v>
      </c>
      <c r="Q48" s="2" t="s">
        <v>20</v>
      </c>
      <c r="W48" s="2" t="s">
        <v>20</v>
      </c>
      <c r="X48" s="2" t="s">
        <v>20</v>
      </c>
      <c r="Y48" s="2" t="s">
        <v>33</v>
      </c>
      <c r="Z48" s="2" t="s">
        <v>33</v>
      </c>
      <c r="AA48" s="2" t="s">
        <v>33</v>
      </c>
      <c r="AB48" s="4" t="s">
        <v>25</v>
      </c>
      <c r="AC48" s="4" t="s">
        <v>25</v>
      </c>
      <c r="AD48" s="2" t="s">
        <v>20</v>
      </c>
      <c r="AE48" s="2" t="s">
        <v>20</v>
      </c>
      <c r="AF48" s="2" t="s">
        <v>33</v>
      </c>
      <c r="AG48" s="2" t="s">
        <v>33</v>
      </c>
      <c r="AH48" s="2" t="s">
        <v>33</v>
      </c>
      <c r="AI48" s="10">
        <f t="shared" ref="AI48:AI55" si="4">SUM(D48:H48,K48:O48,R48:V48)</f>
        <v>0</v>
      </c>
    </row>
    <row r="49" spans="2:37" x14ac:dyDescent="0.2">
      <c r="B49" t="s">
        <v>38</v>
      </c>
      <c r="C49" t="s">
        <v>8</v>
      </c>
      <c r="I49" s="2" t="s">
        <v>20</v>
      </c>
      <c r="J49" s="2" t="s">
        <v>20</v>
      </c>
      <c r="P49" s="2" t="s">
        <v>20</v>
      </c>
      <c r="Q49" s="2" t="s">
        <v>20</v>
      </c>
      <c r="W49" s="2" t="s">
        <v>20</v>
      </c>
      <c r="X49" s="2" t="s">
        <v>20</v>
      </c>
      <c r="Y49" s="2" t="s">
        <v>33</v>
      </c>
      <c r="Z49" s="2" t="s">
        <v>33</v>
      </c>
      <c r="AA49" s="2" t="s">
        <v>33</v>
      </c>
      <c r="AB49" s="4" t="s">
        <v>25</v>
      </c>
      <c r="AC49" s="4" t="s">
        <v>25</v>
      </c>
      <c r="AD49" s="2" t="s">
        <v>20</v>
      </c>
      <c r="AE49" s="2" t="s">
        <v>20</v>
      </c>
      <c r="AF49" s="2" t="s">
        <v>33</v>
      </c>
      <c r="AG49" s="2" t="s">
        <v>33</v>
      </c>
      <c r="AH49" s="2" t="s">
        <v>33</v>
      </c>
      <c r="AI49" s="10">
        <f t="shared" si="4"/>
        <v>0</v>
      </c>
    </row>
    <row r="50" spans="2:37" x14ac:dyDescent="0.2">
      <c r="C50" t="s">
        <v>13</v>
      </c>
      <c r="I50" s="2" t="s">
        <v>20</v>
      </c>
      <c r="J50" s="2" t="s">
        <v>20</v>
      </c>
      <c r="P50" s="2" t="s">
        <v>20</v>
      </c>
      <c r="Q50" s="2" t="s">
        <v>20</v>
      </c>
      <c r="W50" s="2" t="s">
        <v>20</v>
      </c>
      <c r="X50" s="2" t="s">
        <v>20</v>
      </c>
      <c r="Y50" s="2" t="s">
        <v>33</v>
      </c>
      <c r="Z50" s="2" t="s">
        <v>33</v>
      </c>
      <c r="AA50" s="2" t="s">
        <v>33</v>
      </c>
      <c r="AB50" s="4" t="s">
        <v>25</v>
      </c>
      <c r="AC50" s="4" t="s">
        <v>25</v>
      </c>
      <c r="AD50" s="2" t="s">
        <v>20</v>
      </c>
      <c r="AE50" s="2" t="s">
        <v>20</v>
      </c>
      <c r="AF50" s="2" t="s">
        <v>33</v>
      </c>
      <c r="AG50" s="2" t="s">
        <v>33</v>
      </c>
      <c r="AH50" s="2" t="s">
        <v>33</v>
      </c>
      <c r="AI50" s="10">
        <f t="shared" si="4"/>
        <v>0</v>
      </c>
    </row>
    <row r="51" spans="2:37" x14ac:dyDescent="0.2">
      <c r="B51" t="s">
        <v>30</v>
      </c>
      <c r="C51" t="s">
        <v>11</v>
      </c>
      <c r="I51" s="2" t="s">
        <v>20</v>
      </c>
      <c r="J51" s="2" t="s">
        <v>20</v>
      </c>
      <c r="P51" s="2" t="s">
        <v>20</v>
      </c>
      <c r="Q51" s="2" t="s">
        <v>20</v>
      </c>
      <c r="W51" s="2" t="s">
        <v>20</v>
      </c>
      <c r="X51" s="2" t="s">
        <v>20</v>
      </c>
      <c r="Y51" s="2" t="s">
        <v>33</v>
      </c>
      <c r="Z51" s="2" t="s">
        <v>33</v>
      </c>
      <c r="AA51" s="2" t="s">
        <v>33</v>
      </c>
      <c r="AB51" s="4" t="s">
        <v>25</v>
      </c>
      <c r="AC51" s="4" t="s">
        <v>25</v>
      </c>
      <c r="AD51" s="2" t="s">
        <v>20</v>
      </c>
      <c r="AE51" s="2" t="s">
        <v>20</v>
      </c>
      <c r="AF51" s="2" t="s">
        <v>33</v>
      </c>
      <c r="AG51" s="2" t="s">
        <v>33</v>
      </c>
      <c r="AH51" s="2" t="s">
        <v>33</v>
      </c>
      <c r="AI51" s="10">
        <f t="shared" si="4"/>
        <v>0</v>
      </c>
    </row>
    <row r="52" spans="2:37" x14ac:dyDescent="0.2">
      <c r="B52" t="s">
        <v>39</v>
      </c>
      <c r="C52" t="s">
        <v>35</v>
      </c>
      <c r="I52" s="2" t="s">
        <v>20</v>
      </c>
      <c r="J52" s="2" t="s">
        <v>20</v>
      </c>
      <c r="P52" s="2" t="s">
        <v>20</v>
      </c>
      <c r="Q52" s="2" t="s">
        <v>20</v>
      </c>
      <c r="W52" s="2" t="s">
        <v>20</v>
      </c>
      <c r="X52" s="2" t="s">
        <v>20</v>
      </c>
      <c r="Y52" s="2" t="s">
        <v>33</v>
      </c>
      <c r="Z52" s="2" t="s">
        <v>33</v>
      </c>
      <c r="AA52" s="2" t="s">
        <v>33</v>
      </c>
      <c r="AB52" s="4" t="s">
        <v>25</v>
      </c>
      <c r="AC52" s="4" t="s">
        <v>25</v>
      </c>
      <c r="AD52" s="2" t="s">
        <v>20</v>
      </c>
      <c r="AE52" s="2" t="s">
        <v>20</v>
      </c>
      <c r="AF52" s="2" t="s">
        <v>33</v>
      </c>
      <c r="AG52" s="2" t="s">
        <v>33</v>
      </c>
      <c r="AH52" s="2" t="s">
        <v>33</v>
      </c>
      <c r="AI52" s="10">
        <f t="shared" si="4"/>
        <v>0</v>
      </c>
    </row>
    <row r="53" spans="2:37" x14ac:dyDescent="0.2">
      <c r="C53" t="s">
        <v>7</v>
      </c>
      <c r="I53" s="2" t="s">
        <v>20</v>
      </c>
      <c r="J53" s="2" t="s">
        <v>20</v>
      </c>
      <c r="P53" s="2" t="s">
        <v>20</v>
      </c>
      <c r="Q53" s="2" t="s">
        <v>20</v>
      </c>
      <c r="W53" s="2" t="s">
        <v>20</v>
      </c>
      <c r="X53" s="2" t="s">
        <v>20</v>
      </c>
      <c r="Y53" s="2" t="s">
        <v>33</v>
      </c>
      <c r="Z53" s="2" t="s">
        <v>33</v>
      </c>
      <c r="AA53" s="2" t="s">
        <v>33</v>
      </c>
      <c r="AB53" s="4" t="s">
        <v>25</v>
      </c>
      <c r="AC53" s="4" t="s">
        <v>25</v>
      </c>
      <c r="AD53" s="2" t="s">
        <v>20</v>
      </c>
      <c r="AE53" s="2" t="s">
        <v>20</v>
      </c>
      <c r="AF53" s="2" t="s">
        <v>33</v>
      </c>
      <c r="AG53" s="2" t="s">
        <v>33</v>
      </c>
      <c r="AH53" s="2" t="s">
        <v>33</v>
      </c>
      <c r="AI53" s="10">
        <f t="shared" si="4"/>
        <v>0</v>
      </c>
    </row>
    <row r="54" spans="2:37" x14ac:dyDescent="0.2">
      <c r="B54" s="6">
        <v>120</v>
      </c>
      <c r="C54" t="s">
        <v>12</v>
      </c>
      <c r="I54" s="2" t="s">
        <v>20</v>
      </c>
      <c r="J54" s="2" t="s">
        <v>20</v>
      </c>
      <c r="P54" s="2" t="s">
        <v>20</v>
      </c>
      <c r="Q54" s="2" t="s">
        <v>20</v>
      </c>
      <c r="W54" s="2" t="s">
        <v>20</v>
      </c>
      <c r="X54" s="2" t="s">
        <v>20</v>
      </c>
      <c r="Y54" s="2" t="s">
        <v>33</v>
      </c>
      <c r="Z54" s="2" t="s">
        <v>33</v>
      </c>
      <c r="AA54" s="2" t="s">
        <v>33</v>
      </c>
      <c r="AB54" s="4" t="s">
        <v>25</v>
      </c>
      <c r="AC54" s="4" t="s">
        <v>25</v>
      </c>
      <c r="AD54" s="2" t="s">
        <v>20</v>
      </c>
      <c r="AE54" s="2" t="s">
        <v>20</v>
      </c>
      <c r="AF54" s="2" t="s">
        <v>33</v>
      </c>
      <c r="AG54" s="2" t="s">
        <v>33</v>
      </c>
      <c r="AH54" s="2" t="s">
        <v>33</v>
      </c>
      <c r="AI54" s="10">
        <f t="shared" si="4"/>
        <v>0</v>
      </c>
    </row>
    <row r="55" spans="2:37" x14ac:dyDescent="0.2">
      <c r="C55" t="s">
        <v>9</v>
      </c>
      <c r="I55" s="2" t="s">
        <v>20</v>
      </c>
      <c r="J55" s="2" t="s">
        <v>20</v>
      </c>
      <c r="P55" s="2" t="s">
        <v>20</v>
      </c>
      <c r="Q55" s="2" t="s">
        <v>20</v>
      </c>
      <c r="W55" s="2" t="s">
        <v>20</v>
      </c>
      <c r="X55" s="2" t="s">
        <v>20</v>
      </c>
      <c r="Y55" s="2" t="s">
        <v>33</v>
      </c>
      <c r="Z55" s="2" t="s">
        <v>33</v>
      </c>
      <c r="AA55" s="2" t="s">
        <v>33</v>
      </c>
      <c r="AB55" s="4" t="s">
        <v>25</v>
      </c>
      <c r="AC55" s="4" t="s">
        <v>25</v>
      </c>
      <c r="AD55" s="2" t="s">
        <v>20</v>
      </c>
      <c r="AE55" s="2" t="s">
        <v>20</v>
      </c>
      <c r="AF55" s="2" t="s">
        <v>33</v>
      </c>
      <c r="AG55" s="2" t="s">
        <v>33</v>
      </c>
      <c r="AH55" s="2" t="s">
        <v>33</v>
      </c>
      <c r="AI55" s="10">
        <f t="shared" si="4"/>
        <v>0</v>
      </c>
    </row>
    <row r="56" spans="2:37" s="1" customFormat="1" x14ac:dyDescent="0.2">
      <c r="AI56" s="11">
        <f>SUM(AI47:AI55)</f>
        <v>0</v>
      </c>
      <c r="AK56" s="1">
        <f>SUM(AI56,AJ47:AK47)</f>
        <v>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0C82-BD36-4EEA-885E-BEE3AF882426}">
  <dimension ref="A2:N103"/>
  <sheetViews>
    <sheetView zoomScale="160" zoomScaleNormal="160" workbookViewId="0">
      <selection activeCell="E7" sqref="E7"/>
    </sheetView>
  </sheetViews>
  <sheetFormatPr baseColWidth="10" defaultRowHeight="15" x14ac:dyDescent="0.2"/>
  <cols>
    <col min="1" max="1" width="19.83203125" customWidth="1"/>
    <col min="2" max="2" width="11.1640625" customWidth="1"/>
    <col min="3" max="3" width="12.33203125" customWidth="1"/>
    <col min="4" max="4" width="12.6640625" customWidth="1"/>
    <col min="5" max="5" width="13" customWidth="1"/>
    <col min="6" max="6" width="12.33203125" customWidth="1"/>
    <col min="7" max="11" width="12.1640625" customWidth="1"/>
    <col min="12" max="12" width="12.6640625" customWidth="1"/>
    <col min="14" max="14" width="11.5" style="2"/>
  </cols>
  <sheetData>
    <row r="2" spans="1:14" x14ac:dyDescent="0.2">
      <c r="A2" t="s">
        <v>53</v>
      </c>
      <c r="B2" t="s">
        <v>0</v>
      </c>
    </row>
    <row r="3" spans="1:14" x14ac:dyDescent="0.2">
      <c r="B3" s="22" t="s">
        <v>66</v>
      </c>
      <c r="C3" s="22" t="s">
        <v>67</v>
      </c>
      <c r="D3" s="22" t="s">
        <v>68</v>
      </c>
      <c r="E3" s="22" t="s">
        <v>69</v>
      </c>
      <c r="F3" s="22" t="s">
        <v>70</v>
      </c>
      <c r="G3" s="22" t="s">
        <v>71</v>
      </c>
      <c r="H3" s="22" t="s">
        <v>41</v>
      </c>
      <c r="I3" s="22" t="s">
        <v>5</v>
      </c>
      <c r="J3" s="22" t="s">
        <v>54</v>
      </c>
      <c r="K3" s="22" t="s">
        <v>72</v>
      </c>
      <c r="L3" s="22" t="s">
        <v>73</v>
      </c>
      <c r="M3" s="22" t="s">
        <v>19</v>
      </c>
      <c r="N3" s="2" t="s">
        <v>62</v>
      </c>
    </row>
    <row r="5" spans="1:14" x14ac:dyDescent="0.2">
      <c r="A5" s="17" t="s">
        <v>16</v>
      </c>
      <c r="B5" s="22" t="s">
        <v>66</v>
      </c>
      <c r="C5" s="22" t="s">
        <v>67</v>
      </c>
      <c r="D5" s="22" t="s">
        <v>68</v>
      </c>
      <c r="E5" s="22" t="s">
        <v>69</v>
      </c>
      <c r="F5" s="22" t="s">
        <v>70</v>
      </c>
      <c r="G5" s="22" t="s">
        <v>71</v>
      </c>
      <c r="H5" s="22" t="s">
        <v>41</v>
      </c>
      <c r="I5" s="22" t="s">
        <v>5</v>
      </c>
      <c r="J5" s="22" t="s">
        <v>54</v>
      </c>
      <c r="K5" s="22" t="s">
        <v>72</v>
      </c>
      <c r="L5" s="22" t="s">
        <v>73</v>
      </c>
      <c r="M5" s="22" t="s">
        <v>19</v>
      </c>
      <c r="N5" s="21"/>
    </row>
    <row r="6" spans="1:14" x14ac:dyDescent="0.2">
      <c r="A6" t="s">
        <v>55</v>
      </c>
      <c r="B6">
        <f>'Lars B'!AI9</f>
        <v>0</v>
      </c>
      <c r="C6" s="35">
        <f>'Lars B'!AI20</f>
        <v>0</v>
      </c>
      <c r="D6">
        <f>'Lars B'!AI31</f>
        <v>0</v>
      </c>
      <c r="E6">
        <f>'Lars B'!AI42</f>
        <v>0</v>
      </c>
      <c r="F6" s="35">
        <f>'Lars B'!AL20</f>
        <v>0</v>
      </c>
      <c r="G6">
        <f>'Lars B'!AL31</f>
        <v>0</v>
      </c>
      <c r="H6">
        <f>'Lars B'!AO9</f>
        <v>0</v>
      </c>
      <c r="I6" s="35">
        <f>'Lars B'!AO20</f>
        <v>0</v>
      </c>
      <c r="J6">
        <f>'Lars B'!AO31</f>
        <v>0</v>
      </c>
      <c r="K6">
        <f>'Lars B'!AR9</f>
        <v>0</v>
      </c>
      <c r="L6" s="35">
        <f>'Lars B'!AR20</f>
        <v>0</v>
      </c>
      <c r="M6">
        <f>'Lars B'!AR31</f>
        <v>0</v>
      </c>
      <c r="N6" s="2">
        <f t="shared" ref="N6:N13" si="0">SUM(B6:D6)</f>
        <v>0</v>
      </c>
    </row>
    <row r="7" spans="1:14" x14ac:dyDescent="0.2">
      <c r="A7" t="s">
        <v>56</v>
      </c>
      <c r="N7">
        <f t="shared" si="0"/>
        <v>0</v>
      </c>
    </row>
    <row r="8" spans="1:14" x14ac:dyDescent="0.2">
      <c r="A8" t="s">
        <v>57</v>
      </c>
      <c r="N8" s="2">
        <f t="shared" si="0"/>
        <v>0</v>
      </c>
    </row>
    <row r="9" spans="1:14" x14ac:dyDescent="0.2">
      <c r="A9" t="s">
        <v>58</v>
      </c>
      <c r="N9" s="2">
        <f t="shared" si="0"/>
        <v>0</v>
      </c>
    </row>
    <row r="10" spans="1:14" x14ac:dyDescent="0.2">
      <c r="A10" t="s">
        <v>59</v>
      </c>
      <c r="N10" s="2">
        <f t="shared" si="0"/>
        <v>0</v>
      </c>
    </row>
    <row r="11" spans="1:14" x14ac:dyDescent="0.2">
      <c r="A11" t="s">
        <v>60</v>
      </c>
      <c r="N11" s="2">
        <f t="shared" si="0"/>
        <v>0</v>
      </c>
    </row>
    <row r="12" spans="1:14" x14ac:dyDescent="0.2">
      <c r="A12" t="s">
        <v>74</v>
      </c>
      <c r="N12" s="2">
        <f t="shared" si="0"/>
        <v>0</v>
      </c>
    </row>
    <row r="13" spans="1:14" x14ac:dyDescent="0.2">
      <c r="A13" t="s">
        <v>61</v>
      </c>
      <c r="N13" s="2">
        <f t="shared" si="0"/>
        <v>0</v>
      </c>
    </row>
    <row r="16" spans="1:14" x14ac:dyDescent="0.2">
      <c r="A16" s="17" t="s">
        <v>10</v>
      </c>
      <c r="B16" s="22" t="s">
        <v>66</v>
      </c>
      <c r="C16" s="22" t="s">
        <v>67</v>
      </c>
      <c r="D16" s="22" t="s">
        <v>68</v>
      </c>
      <c r="E16" s="22" t="s">
        <v>69</v>
      </c>
      <c r="F16" s="22" t="s">
        <v>70</v>
      </c>
      <c r="G16" s="22" t="s">
        <v>71</v>
      </c>
      <c r="H16" s="22" t="s">
        <v>41</v>
      </c>
      <c r="I16" s="22" t="s">
        <v>5</v>
      </c>
      <c r="J16" s="22" t="s">
        <v>54</v>
      </c>
      <c r="K16" s="22" t="s">
        <v>72</v>
      </c>
      <c r="L16" s="22" t="s">
        <v>73</v>
      </c>
      <c r="M16" s="22" t="s">
        <v>19</v>
      </c>
      <c r="N16" s="21"/>
    </row>
    <row r="17" spans="1:14" x14ac:dyDescent="0.2">
      <c r="A17" t="s">
        <v>55</v>
      </c>
      <c r="B17">
        <f>'Lars B'!AI9</f>
        <v>0</v>
      </c>
      <c r="C17">
        <f>('Lars B'!AI21)</f>
        <v>0</v>
      </c>
      <c r="D17">
        <f>('Lars B'!AI32)</f>
        <v>0</v>
      </c>
      <c r="E17">
        <f>('Lars B'!AI43)</f>
        <v>0</v>
      </c>
      <c r="F17">
        <f>('Lars B'!AI55)</f>
        <v>0</v>
      </c>
      <c r="G17">
        <f>('Lars B'!AI67)</f>
        <v>0</v>
      </c>
      <c r="H17">
        <f>('Lars B'!AO10)</f>
        <v>0</v>
      </c>
      <c r="I17">
        <f>('Lars B'!AO21)</f>
        <v>0</v>
      </c>
      <c r="J17">
        <f>('Lars B'!AO32)</f>
        <v>0</v>
      </c>
      <c r="K17">
        <f>('Lars B'!AO43)</f>
        <v>0</v>
      </c>
      <c r="L17">
        <f>('Lars B'!AO55)</f>
        <v>0</v>
      </c>
      <c r="M17">
        <f>('Lars B'!AO67)</f>
        <v>0</v>
      </c>
      <c r="N17" s="2">
        <f t="shared" ref="N17:N34" si="1">SUM(B17:D17)</f>
        <v>0</v>
      </c>
    </row>
    <row r="18" spans="1:14" x14ac:dyDescent="0.2">
      <c r="A18" t="s">
        <v>56</v>
      </c>
      <c r="B18">
        <f>('Lena S'!AI10)</f>
        <v>0</v>
      </c>
      <c r="C18">
        <f>('Lena S'!AI19)</f>
        <v>0</v>
      </c>
      <c r="D18">
        <f>('Lena S'!AI28)</f>
        <v>24</v>
      </c>
      <c r="E18">
        <f>('Lena S'!AI37)</f>
        <v>56</v>
      </c>
      <c r="F18">
        <f>('Lena S'!AI47)</f>
        <v>40</v>
      </c>
      <c r="G18">
        <f>('Lena S'!AI57)</f>
        <v>0</v>
      </c>
      <c r="N18" s="2">
        <f t="shared" si="1"/>
        <v>24</v>
      </c>
    </row>
    <row r="19" spans="1:14" x14ac:dyDescent="0.2">
      <c r="A19" t="s">
        <v>57</v>
      </c>
      <c r="B19">
        <f>('Sabrina F'!AI10)</f>
        <v>0</v>
      </c>
      <c r="C19">
        <f>('Sabrina F'!AI19)</f>
        <v>28</v>
      </c>
      <c r="D19">
        <f>('Sabrina F'!AI28)</f>
        <v>0</v>
      </c>
      <c r="E19">
        <f>('Sabrina F'!AI37)</f>
        <v>48</v>
      </c>
      <c r="F19">
        <f>('Sabrina F'!AI47)</f>
        <v>40</v>
      </c>
      <c r="G19">
        <f>('Sabrina F'!AI57)</f>
        <v>40</v>
      </c>
      <c r="N19" s="2">
        <f t="shared" si="1"/>
        <v>28</v>
      </c>
    </row>
    <row r="20" spans="1:14" x14ac:dyDescent="0.2">
      <c r="A20" t="s">
        <v>58</v>
      </c>
      <c r="B20">
        <f>('Karen JT'!AI10)</f>
        <v>0</v>
      </c>
      <c r="C20">
        <f>('Karen JT'!AI19)</f>
        <v>0</v>
      </c>
      <c r="D20">
        <f>('Karen JT'!AI28)</f>
        <v>0</v>
      </c>
      <c r="E20">
        <f>('Karen JT'!AI37)</f>
        <v>0</v>
      </c>
      <c r="F20">
        <f>('Karen JT'!AI47)</f>
        <v>0</v>
      </c>
      <c r="G20">
        <f>('Karen JT'!AI57)</f>
        <v>0</v>
      </c>
      <c r="N20" s="2">
        <f t="shared" si="1"/>
        <v>0</v>
      </c>
    </row>
    <row r="21" spans="1:14" x14ac:dyDescent="0.2">
      <c r="A21" t="s">
        <v>59</v>
      </c>
      <c r="B21">
        <f>('Ron J'!AI10)</f>
        <v>0</v>
      </c>
      <c r="C21">
        <f>('Ron J'!AI19)</f>
        <v>48</v>
      </c>
      <c r="D21">
        <f>('Ron J'!AI28)</f>
        <v>16</v>
      </c>
      <c r="E21">
        <f>('Ron J'!AI37)</f>
        <v>0</v>
      </c>
      <c r="F21">
        <f>('Ron J'!AI47)</f>
        <v>0</v>
      </c>
      <c r="G21">
        <f>('Ron J'!AI57)</f>
        <v>32</v>
      </c>
      <c r="N21" s="2">
        <f t="shared" si="1"/>
        <v>64</v>
      </c>
    </row>
    <row r="22" spans="1:14" x14ac:dyDescent="0.2">
      <c r="A22" t="s">
        <v>60</v>
      </c>
      <c r="B22">
        <f>('Lucas H'!AI10)</f>
        <v>0</v>
      </c>
      <c r="C22">
        <f>('Lucas H'!AI19)</f>
        <v>40</v>
      </c>
      <c r="D22">
        <f>('Lucas H'!AI28)</f>
        <v>48</v>
      </c>
      <c r="E22">
        <f>('Lucas H'!AI37)</f>
        <v>72</v>
      </c>
      <c r="F22">
        <f>('Lucas H'!AI47)</f>
        <v>40</v>
      </c>
      <c r="G22">
        <f>('Lucas H'!AI57)</f>
        <v>40</v>
      </c>
      <c r="N22" s="2">
        <f t="shared" si="1"/>
        <v>88</v>
      </c>
    </row>
    <row r="23" spans="1:14" x14ac:dyDescent="0.2">
      <c r="A23" t="s">
        <v>74</v>
      </c>
      <c r="N23" s="2">
        <f t="shared" si="1"/>
        <v>0</v>
      </c>
    </row>
    <row r="24" spans="1:14" x14ac:dyDescent="0.2">
      <c r="A24" t="s">
        <v>61</v>
      </c>
      <c r="B24">
        <f>('Daniela Z'!AI10)</f>
        <v>40</v>
      </c>
      <c r="C24">
        <f>('Daniela Z'!AI19)</f>
        <v>40</v>
      </c>
      <c r="D24">
        <f>('Daniela Z'!AI28)</f>
        <v>0</v>
      </c>
      <c r="E24">
        <f>('Daniela Z'!AI37)</f>
        <v>16</v>
      </c>
      <c r="F24">
        <f>('Daniela Z'!AI47)</f>
        <v>0</v>
      </c>
      <c r="G24">
        <f>('Daniela Z'!AI57)</f>
        <v>80</v>
      </c>
      <c r="N24" s="2">
        <f t="shared" si="1"/>
        <v>80</v>
      </c>
    </row>
    <row r="27" spans="1:14" x14ac:dyDescent="0.2">
      <c r="A27" s="17" t="s">
        <v>8</v>
      </c>
      <c r="B27" s="22" t="s">
        <v>66</v>
      </c>
      <c r="C27" s="22" t="s">
        <v>67</v>
      </c>
      <c r="D27" s="22" t="s">
        <v>68</v>
      </c>
      <c r="E27" s="22" t="s">
        <v>69</v>
      </c>
      <c r="F27" s="22" t="s">
        <v>70</v>
      </c>
      <c r="G27" s="22" t="s">
        <v>71</v>
      </c>
      <c r="H27" s="22" t="s">
        <v>41</v>
      </c>
      <c r="I27" s="22" t="s">
        <v>5</v>
      </c>
      <c r="J27" s="22" t="s">
        <v>54</v>
      </c>
      <c r="K27" s="22" t="s">
        <v>72</v>
      </c>
      <c r="L27" s="22" t="s">
        <v>73</v>
      </c>
      <c r="M27" s="22" t="s">
        <v>19</v>
      </c>
      <c r="N27" s="21"/>
    </row>
    <row r="28" spans="1:14" x14ac:dyDescent="0.2">
      <c r="A28" t="s">
        <v>55</v>
      </c>
      <c r="B28">
        <f>('Lars B'!AI11)</f>
        <v>0</v>
      </c>
      <c r="C28">
        <f>('Lars B'!AI22)</f>
        <v>0</v>
      </c>
      <c r="D28">
        <f>('Lars B'!AI33)</f>
        <v>0</v>
      </c>
      <c r="E28">
        <f>('Lars B'!AI44)</f>
        <v>0</v>
      </c>
      <c r="F28">
        <f>('Lars B'!AI56)</f>
        <v>0</v>
      </c>
      <c r="G28">
        <f>('Lena S'!AI58)</f>
        <v>0</v>
      </c>
      <c r="N28" s="2">
        <f t="shared" si="1"/>
        <v>0</v>
      </c>
    </row>
    <row r="29" spans="1:14" x14ac:dyDescent="0.2">
      <c r="A29" t="s">
        <v>56</v>
      </c>
      <c r="B29">
        <f>('Lena S'!AI11)</f>
        <v>0</v>
      </c>
      <c r="C29">
        <f>('Lena S'!AI20)</f>
        <v>0</v>
      </c>
      <c r="D29">
        <f>('Lena S'!AI29)</f>
        <v>0</v>
      </c>
      <c r="E29">
        <f>('Lena S'!AI38)</f>
        <v>0</v>
      </c>
      <c r="F29">
        <f>('Lena S'!AI48)</f>
        <v>0</v>
      </c>
      <c r="G29">
        <f>('Lena S'!AI58)</f>
        <v>0</v>
      </c>
      <c r="N29" s="2">
        <f t="shared" si="1"/>
        <v>0</v>
      </c>
    </row>
    <row r="30" spans="1:14" x14ac:dyDescent="0.2">
      <c r="A30" t="s">
        <v>57</v>
      </c>
      <c r="B30">
        <f>('Sabrina F'!AI11)</f>
        <v>0</v>
      </c>
      <c r="C30">
        <f>('Sabrina F'!AI20)</f>
        <v>0</v>
      </c>
      <c r="D30">
        <f>('Sabrina F'!AI29)</f>
        <v>0</v>
      </c>
      <c r="E30">
        <f>('Sabrina F'!AI38)</f>
        <v>0</v>
      </c>
      <c r="F30">
        <f>('Sabrina F'!AI48)</f>
        <v>0</v>
      </c>
      <c r="G30">
        <f>('Sabrina F'!AI58)</f>
        <v>0</v>
      </c>
      <c r="N30" s="2">
        <f t="shared" si="1"/>
        <v>0</v>
      </c>
    </row>
    <row r="31" spans="1:14" x14ac:dyDescent="0.2">
      <c r="A31" t="s">
        <v>58</v>
      </c>
      <c r="B31">
        <f>('Karen JT'!AI11)</f>
        <v>0</v>
      </c>
      <c r="C31">
        <f>('Karen JT'!AI20)</f>
        <v>0</v>
      </c>
      <c r="D31">
        <f>('Karen JT'!AI29)</f>
        <v>0</v>
      </c>
      <c r="E31">
        <f>('Karen JT'!AI38)</f>
        <v>0</v>
      </c>
      <c r="F31">
        <f>('Karen JT'!AI48)</f>
        <v>0</v>
      </c>
      <c r="G31">
        <f>('Karen JT'!AI58)</f>
        <v>0</v>
      </c>
      <c r="N31" s="2">
        <f t="shared" si="1"/>
        <v>0</v>
      </c>
    </row>
    <row r="32" spans="1:14" x14ac:dyDescent="0.2">
      <c r="A32" t="s">
        <v>59</v>
      </c>
      <c r="B32">
        <f>('Ron J'!AI11)</f>
        <v>0</v>
      </c>
      <c r="C32">
        <f>('Ron J'!AI20)</f>
        <v>64</v>
      </c>
      <c r="D32">
        <f>('Ron J'!AI29)</f>
        <v>32</v>
      </c>
      <c r="E32">
        <f>('Ron J'!AI38)</f>
        <v>0</v>
      </c>
      <c r="F32">
        <f>('Ron J'!AI48)</f>
        <v>32</v>
      </c>
      <c r="G32">
        <f>('Ron J'!AI58)</f>
        <v>32</v>
      </c>
      <c r="N32" s="2">
        <f t="shared" si="1"/>
        <v>96</v>
      </c>
    </row>
    <row r="33" spans="1:14" x14ac:dyDescent="0.2">
      <c r="A33" t="s">
        <v>60</v>
      </c>
      <c r="B33">
        <f>('Lucas H'!AI11)</f>
        <v>96</v>
      </c>
      <c r="C33">
        <f>('Lucas H'!AI20)</f>
        <v>40</v>
      </c>
      <c r="D33">
        <f>('Lucas H'!AI29)</f>
        <v>56</v>
      </c>
      <c r="E33">
        <f>('Lucas H'!AI38)</f>
        <v>56</v>
      </c>
      <c r="F33">
        <f>('Lucas H'!AI48)</f>
        <v>80</v>
      </c>
      <c r="G33">
        <f>('Lucas H'!AI58)</f>
        <v>40</v>
      </c>
      <c r="N33" s="2">
        <f t="shared" si="1"/>
        <v>192</v>
      </c>
    </row>
    <row r="34" spans="1:14" x14ac:dyDescent="0.2">
      <c r="A34" t="s">
        <v>74</v>
      </c>
      <c r="B34">
        <f>('Daniela Z'!AI11)</f>
        <v>0</v>
      </c>
      <c r="C34">
        <f>('Daniela Z'!AI20)</f>
        <v>0</v>
      </c>
      <c r="D34">
        <f>('Daniela Z'!AI29)</f>
        <v>0</v>
      </c>
      <c r="E34">
        <f>('Daniela Z'!AI38)</f>
        <v>0</v>
      </c>
      <c r="F34">
        <f>('Daniela Z'!AI48)</f>
        <v>0</v>
      </c>
      <c r="G34">
        <f>('Daniela Z'!AI58)</f>
        <v>0</v>
      </c>
      <c r="N34" s="2">
        <f t="shared" si="1"/>
        <v>0</v>
      </c>
    </row>
    <row r="35" spans="1:14" x14ac:dyDescent="0.2">
      <c r="A35" t="s">
        <v>61</v>
      </c>
    </row>
    <row r="37" spans="1:14" x14ac:dyDescent="0.2">
      <c r="A37" s="17" t="s">
        <v>13</v>
      </c>
      <c r="B37" s="22" t="s">
        <v>66</v>
      </c>
      <c r="C37" s="22" t="s">
        <v>67</v>
      </c>
      <c r="D37" s="22" t="s">
        <v>68</v>
      </c>
      <c r="E37" s="22" t="s">
        <v>69</v>
      </c>
      <c r="F37" s="22" t="s">
        <v>70</v>
      </c>
      <c r="G37" s="22" t="s">
        <v>71</v>
      </c>
      <c r="H37" s="22" t="s">
        <v>41</v>
      </c>
      <c r="I37" s="22" t="s">
        <v>5</v>
      </c>
      <c r="J37" s="22" t="s">
        <v>54</v>
      </c>
      <c r="K37" s="22" t="s">
        <v>72</v>
      </c>
      <c r="L37" s="22" t="s">
        <v>73</v>
      </c>
      <c r="M37" s="22" t="s">
        <v>19</v>
      </c>
      <c r="N37" s="21"/>
    </row>
    <row r="38" spans="1:14" x14ac:dyDescent="0.2">
      <c r="A38" t="s">
        <v>55</v>
      </c>
      <c r="B38">
        <f>('Lars B'!AI12)</f>
        <v>0</v>
      </c>
      <c r="C38">
        <f>('Lars B'!AI23)</f>
        <v>0</v>
      </c>
      <c r="D38">
        <f>('Lars B'!AI34)</f>
        <v>0</v>
      </c>
      <c r="E38">
        <f>('Lars B'!AI45)</f>
        <v>0</v>
      </c>
      <c r="F38">
        <f>('Lars B'!AI57)</f>
        <v>0</v>
      </c>
      <c r="G38">
        <f>('Lena S'!AI59)</f>
        <v>40</v>
      </c>
      <c r="N38" s="2">
        <f t="shared" ref="N38:N44" si="2">SUM(B38:D38)</f>
        <v>0</v>
      </c>
    </row>
    <row r="39" spans="1:14" x14ac:dyDescent="0.2">
      <c r="A39" t="s">
        <v>56</v>
      </c>
      <c r="B39">
        <f>('Lena S'!AI12)</f>
        <v>0</v>
      </c>
      <c r="C39">
        <f>('Lena S'!AI21)</f>
        <v>40</v>
      </c>
      <c r="D39">
        <f>('Lena S'!AI30)</f>
        <v>48</v>
      </c>
      <c r="E39">
        <f>('Lena S'!AI39)</f>
        <v>0</v>
      </c>
      <c r="F39">
        <f>('Lena S'!AI58)</f>
        <v>0</v>
      </c>
      <c r="G39">
        <f>('Lena S'!AI68)</f>
        <v>0</v>
      </c>
      <c r="N39" s="2">
        <f t="shared" si="2"/>
        <v>88</v>
      </c>
    </row>
    <row r="40" spans="1:14" x14ac:dyDescent="0.2">
      <c r="A40" t="s">
        <v>57</v>
      </c>
      <c r="B40">
        <f>('Sabrina F'!AI12)</f>
        <v>0</v>
      </c>
      <c r="C40">
        <f>('Sabrina F'!AI21)</f>
        <v>0</v>
      </c>
      <c r="D40">
        <f>('Sabrina F'!AI30)</f>
        <v>40</v>
      </c>
      <c r="E40">
        <f>('Sabrina F'!AI39)</f>
        <v>40</v>
      </c>
      <c r="F40">
        <f>('Sabrina F'!AI58)</f>
        <v>0</v>
      </c>
      <c r="G40">
        <f>('Sabrina F'!AI68)</f>
        <v>0</v>
      </c>
      <c r="N40" s="2">
        <f t="shared" si="2"/>
        <v>40</v>
      </c>
    </row>
    <row r="41" spans="1:14" x14ac:dyDescent="0.2">
      <c r="A41" t="s">
        <v>58</v>
      </c>
      <c r="B41">
        <f>('Karen JT'!AI12)</f>
        <v>0</v>
      </c>
      <c r="C41">
        <f>('Karen JT'!AI21)</f>
        <v>0</v>
      </c>
      <c r="D41">
        <f>('Karen JT'!AI30)</f>
        <v>0</v>
      </c>
      <c r="E41">
        <f>('Karen JT'!AI39)</f>
        <v>0</v>
      </c>
      <c r="F41">
        <f>('Karen JT'!AI58)</f>
        <v>0</v>
      </c>
      <c r="G41">
        <f>('Karen JT'!AI68)</f>
        <v>0</v>
      </c>
      <c r="N41" s="2">
        <f t="shared" si="2"/>
        <v>0</v>
      </c>
    </row>
    <row r="42" spans="1:14" x14ac:dyDescent="0.2">
      <c r="A42" t="s">
        <v>59</v>
      </c>
      <c r="B42">
        <f>('Ron J'!AI12)</f>
        <v>0</v>
      </c>
      <c r="C42">
        <f>('Ron J'!AI21)</f>
        <v>0</v>
      </c>
      <c r="D42">
        <f>('Ron J'!AI30)</f>
        <v>0</v>
      </c>
      <c r="E42">
        <f>('Ron J'!AI39)</f>
        <v>0</v>
      </c>
      <c r="F42">
        <f>('Ron J'!AI58)</f>
        <v>32</v>
      </c>
      <c r="G42">
        <f>('Ron J'!AI68)</f>
        <v>0</v>
      </c>
      <c r="N42" s="2">
        <f t="shared" si="2"/>
        <v>0</v>
      </c>
    </row>
    <row r="43" spans="1:14" x14ac:dyDescent="0.2">
      <c r="A43" t="s">
        <v>60</v>
      </c>
      <c r="B43">
        <f>('Lucas H'!AI12)</f>
        <v>0</v>
      </c>
      <c r="C43">
        <f>('Lucas H'!AI21)</f>
        <v>0</v>
      </c>
      <c r="D43">
        <f>('Lucas H'!AI30)</f>
        <v>0</v>
      </c>
      <c r="E43">
        <f>('Lucas H'!AI39)</f>
        <v>0</v>
      </c>
      <c r="F43">
        <f>('Lucas H'!AI58)</f>
        <v>40</v>
      </c>
      <c r="G43">
        <f>('Lucas H'!AI68)</f>
        <v>0</v>
      </c>
      <c r="N43" s="2">
        <f t="shared" si="2"/>
        <v>0</v>
      </c>
    </row>
    <row r="44" spans="1:14" x14ac:dyDescent="0.2">
      <c r="A44" t="s">
        <v>74</v>
      </c>
      <c r="B44">
        <f>('Daniela Z'!AI12)</f>
        <v>80</v>
      </c>
      <c r="C44">
        <f>('Daniela Z'!AI21)</f>
        <v>80</v>
      </c>
      <c r="D44">
        <f>('Daniela Z'!AI30)</f>
        <v>40</v>
      </c>
      <c r="E44">
        <f>('Daniela Z'!AI39)</f>
        <v>80</v>
      </c>
      <c r="F44">
        <f>('Daniela Z'!AI58)</f>
        <v>0</v>
      </c>
      <c r="G44">
        <f>('Daniela Z'!AI68)</f>
        <v>0</v>
      </c>
      <c r="N44" s="2">
        <f t="shared" si="2"/>
        <v>200</v>
      </c>
    </row>
    <row r="45" spans="1:14" x14ac:dyDescent="0.2">
      <c r="A45" t="s">
        <v>61</v>
      </c>
    </row>
    <row r="48" spans="1:14" x14ac:dyDescent="0.2">
      <c r="A48" s="17" t="s">
        <v>11</v>
      </c>
      <c r="B48" s="22" t="s">
        <v>66</v>
      </c>
      <c r="C48" s="22" t="s">
        <v>67</v>
      </c>
      <c r="D48" s="22" t="s">
        <v>68</v>
      </c>
      <c r="E48" s="22" t="s">
        <v>69</v>
      </c>
      <c r="F48" s="22" t="s">
        <v>70</v>
      </c>
      <c r="G48" s="22" t="s">
        <v>71</v>
      </c>
      <c r="H48" s="22" t="s">
        <v>41</v>
      </c>
      <c r="I48" s="22" t="s">
        <v>5</v>
      </c>
      <c r="J48" s="22" t="s">
        <v>54</v>
      </c>
      <c r="K48" s="22" t="s">
        <v>72</v>
      </c>
      <c r="L48" s="22" t="s">
        <v>73</v>
      </c>
      <c r="M48" s="22" t="s">
        <v>19</v>
      </c>
      <c r="N48" s="21"/>
    </row>
    <row r="49" spans="1:14" x14ac:dyDescent="0.2">
      <c r="A49" t="s">
        <v>55</v>
      </c>
      <c r="B49">
        <f>('Lars B'!AI13)</f>
        <v>0</v>
      </c>
      <c r="C49">
        <f>('Lars B'!AI24)</f>
        <v>0</v>
      </c>
      <c r="D49">
        <f>('Lars B'!AI35)</f>
        <v>0</v>
      </c>
      <c r="E49">
        <f>('Lars B'!AI46)</f>
        <v>0</v>
      </c>
      <c r="F49">
        <f>('Lars B'!AI58)</f>
        <v>0</v>
      </c>
      <c r="G49">
        <f>('Lena S'!AI60)</f>
        <v>40</v>
      </c>
      <c r="N49" s="2">
        <f t="shared" ref="N49:N55" si="3">SUM(B49:D49)</f>
        <v>0</v>
      </c>
    </row>
    <row r="50" spans="1:14" x14ac:dyDescent="0.2">
      <c r="A50" t="s">
        <v>56</v>
      </c>
      <c r="B50">
        <f>('Lena S'!AI13)</f>
        <v>0</v>
      </c>
      <c r="C50">
        <f>('Lena S'!AI22)</f>
        <v>24</v>
      </c>
      <c r="D50">
        <f>('Lena S'!AI31)</f>
        <v>24</v>
      </c>
      <c r="E50">
        <f>('Lena S'!AI40)</f>
        <v>72</v>
      </c>
      <c r="F50">
        <f>('Lena S'!AI50)</f>
        <v>80</v>
      </c>
      <c r="G50">
        <f>('Lena S'!AI60)</f>
        <v>40</v>
      </c>
      <c r="N50" s="2">
        <f t="shared" si="3"/>
        <v>48</v>
      </c>
    </row>
    <row r="51" spans="1:14" x14ac:dyDescent="0.2">
      <c r="A51" t="s">
        <v>57</v>
      </c>
      <c r="B51">
        <f>('Sabrina F'!AI13)</f>
        <v>64</v>
      </c>
      <c r="C51">
        <f>('Sabrina F'!AI22)</f>
        <v>0</v>
      </c>
      <c r="D51">
        <f>('Sabrina F'!AI31)</f>
        <v>80</v>
      </c>
      <c r="E51">
        <f>('Sabrina F'!AI40)</f>
        <v>80</v>
      </c>
      <c r="F51">
        <f>('Sabrina F'!AI50)</f>
        <v>80</v>
      </c>
      <c r="G51">
        <f>('Sabrina F'!AI60)</f>
        <v>40</v>
      </c>
      <c r="N51" s="2">
        <f t="shared" si="3"/>
        <v>144</v>
      </c>
    </row>
    <row r="52" spans="1:14" x14ac:dyDescent="0.2">
      <c r="A52" t="s">
        <v>58</v>
      </c>
      <c r="B52">
        <f>('Karen JT'!AI13)</f>
        <v>70</v>
      </c>
      <c r="C52">
        <f>('Karen JT'!AI22)</f>
        <v>95</v>
      </c>
      <c r="D52">
        <f>('Karen JT'!AI31)</f>
        <v>95</v>
      </c>
      <c r="E52">
        <f>('Karen JT'!AI40)</f>
        <v>80</v>
      </c>
      <c r="F52">
        <f>('Karen JT'!AI50)</f>
        <v>25</v>
      </c>
      <c r="G52">
        <f>('Karen JT'!AI60)</f>
        <v>75</v>
      </c>
      <c r="N52" s="2">
        <f t="shared" si="3"/>
        <v>260</v>
      </c>
    </row>
    <row r="53" spans="1:14" x14ac:dyDescent="0.2">
      <c r="A53" t="s">
        <v>59</v>
      </c>
      <c r="B53">
        <f>('Ron J'!AI13)</f>
        <v>0</v>
      </c>
      <c r="C53">
        <f>('Ron J'!AI22)</f>
        <v>0</v>
      </c>
      <c r="D53">
        <f>('Ron J'!AI31)</f>
        <v>0</v>
      </c>
      <c r="E53">
        <f>('Ron J'!AI40)</f>
        <v>0</v>
      </c>
      <c r="F53">
        <f>('Ron J'!AI50)</f>
        <v>0</v>
      </c>
      <c r="G53">
        <f>('Ron J'!AI60)</f>
        <v>0</v>
      </c>
      <c r="N53" s="2">
        <f t="shared" si="3"/>
        <v>0</v>
      </c>
    </row>
    <row r="54" spans="1:14" x14ac:dyDescent="0.2">
      <c r="A54" t="s">
        <v>60</v>
      </c>
      <c r="B54">
        <f>('Lucas H'!AI13)</f>
        <v>80</v>
      </c>
      <c r="C54">
        <f>('Lucas H'!AI22)</f>
        <v>80</v>
      </c>
      <c r="D54">
        <f>('Lucas H'!AI31)</f>
        <v>0</v>
      </c>
      <c r="E54">
        <f>('Lucas H'!AI40)</f>
        <v>40</v>
      </c>
      <c r="F54">
        <f>('Lucas H'!AI50)</f>
        <v>40</v>
      </c>
      <c r="G54">
        <f>('Lucas H'!AI60)</f>
        <v>40</v>
      </c>
      <c r="N54" s="2">
        <f t="shared" si="3"/>
        <v>160</v>
      </c>
    </row>
    <row r="55" spans="1:14" x14ac:dyDescent="0.2">
      <c r="A55" t="s">
        <v>74</v>
      </c>
      <c r="B55">
        <f>('Daniela Z'!AI13)</f>
        <v>0</v>
      </c>
      <c r="C55">
        <f>('Daniela Z'!AI22)</f>
        <v>0</v>
      </c>
      <c r="D55">
        <f>('Daniela Z'!AI31)</f>
        <v>0</v>
      </c>
      <c r="E55">
        <f>('Daniela Z'!AI40)</f>
        <v>0</v>
      </c>
      <c r="F55">
        <f>('Daniela Z'!AI50)</f>
        <v>0</v>
      </c>
      <c r="G55">
        <f>('Daniela Z'!AI60)</f>
        <v>0</v>
      </c>
      <c r="N55" s="2">
        <f t="shared" si="3"/>
        <v>0</v>
      </c>
    </row>
    <row r="56" spans="1:14" x14ac:dyDescent="0.2">
      <c r="A56" t="s">
        <v>61</v>
      </c>
    </row>
    <row r="59" spans="1:14" x14ac:dyDescent="0.2">
      <c r="A59" s="17" t="s">
        <v>7</v>
      </c>
      <c r="B59" s="22" t="s">
        <v>66</v>
      </c>
      <c r="C59" s="22" t="s">
        <v>67</v>
      </c>
      <c r="D59" s="22" t="s">
        <v>68</v>
      </c>
      <c r="E59" s="22" t="s">
        <v>69</v>
      </c>
      <c r="F59" s="22" t="s">
        <v>70</v>
      </c>
      <c r="G59" s="22" t="s">
        <v>71</v>
      </c>
      <c r="H59" s="22" t="s">
        <v>41</v>
      </c>
      <c r="I59" s="22" t="s">
        <v>5</v>
      </c>
      <c r="J59" s="22" t="s">
        <v>54</v>
      </c>
      <c r="K59" s="22" t="s">
        <v>72</v>
      </c>
      <c r="L59" s="22" t="s">
        <v>73</v>
      </c>
      <c r="M59" s="22" t="s">
        <v>19</v>
      </c>
      <c r="N59" s="21"/>
    </row>
    <row r="60" spans="1:14" x14ac:dyDescent="0.2">
      <c r="A60" t="s">
        <v>55</v>
      </c>
      <c r="B60">
        <f>('Lars B'!AI14)</f>
        <v>0</v>
      </c>
      <c r="C60">
        <f>('Lars B'!AI25)</f>
        <v>0</v>
      </c>
      <c r="D60">
        <f>('Lars B'!AI36)</f>
        <v>0</v>
      </c>
      <c r="E60">
        <f>('Lars B'!AI48)</f>
        <v>0</v>
      </c>
      <c r="F60">
        <f>('Lars B'!AI60)</f>
        <v>0</v>
      </c>
      <c r="G60">
        <f>('Lena S'!AI62)</f>
        <v>0</v>
      </c>
      <c r="N60" s="2">
        <f t="shared" ref="N60:N66" si="4">SUM(B60:D60)</f>
        <v>0</v>
      </c>
    </row>
    <row r="61" spans="1:14" x14ac:dyDescent="0.2">
      <c r="A61" t="s">
        <v>56</v>
      </c>
      <c r="B61">
        <f>('Lena S'!AI14)</f>
        <v>144</v>
      </c>
      <c r="C61">
        <f>('Lena S'!AI23)</f>
        <v>48</v>
      </c>
      <c r="D61">
        <f>('Lena S'!AI32)</f>
        <v>40</v>
      </c>
      <c r="E61">
        <f>('Lena S'!AI42)</f>
        <v>40</v>
      </c>
      <c r="F61">
        <f>('Lena S'!AI52)</f>
        <v>0</v>
      </c>
      <c r="G61">
        <f>('Lena S'!AI62)</f>
        <v>0</v>
      </c>
      <c r="N61" s="2">
        <f t="shared" si="4"/>
        <v>232</v>
      </c>
    </row>
    <row r="62" spans="1:14" x14ac:dyDescent="0.2">
      <c r="A62" t="s">
        <v>57</v>
      </c>
      <c r="B62">
        <f>('Sabrina F'!AI14)</f>
        <v>0</v>
      </c>
      <c r="C62">
        <f>('Sabrina F'!AI23)</f>
        <v>0</v>
      </c>
      <c r="D62">
        <f>('Sabrina F'!AI32)</f>
        <v>0</v>
      </c>
      <c r="E62">
        <f>('Sabrina F'!AI42)</f>
        <v>0</v>
      </c>
      <c r="F62">
        <f>('Sabrina F'!AI52)</f>
        <v>0</v>
      </c>
      <c r="G62">
        <f>('Sabrina F'!AI62)</f>
        <v>0</v>
      </c>
      <c r="N62" s="2">
        <f t="shared" si="4"/>
        <v>0</v>
      </c>
    </row>
    <row r="63" spans="1:14" x14ac:dyDescent="0.2">
      <c r="A63" t="s">
        <v>58</v>
      </c>
      <c r="B63">
        <f>('Karen JT'!AI14)</f>
        <v>0</v>
      </c>
      <c r="C63">
        <f>('Karen JT'!AI23)</f>
        <v>0</v>
      </c>
      <c r="D63">
        <f>('Karen JT'!AI32)</f>
        <v>0</v>
      </c>
      <c r="E63">
        <f>('Karen JT'!AI42)</f>
        <v>0</v>
      </c>
      <c r="F63">
        <f>('Karen JT'!AI52)</f>
        <v>0</v>
      </c>
      <c r="G63">
        <f>('Karen JT'!AI62)</f>
        <v>0</v>
      </c>
      <c r="N63" s="2">
        <f t="shared" si="4"/>
        <v>0</v>
      </c>
    </row>
    <row r="64" spans="1:14" x14ac:dyDescent="0.2">
      <c r="A64" t="s">
        <v>59</v>
      </c>
      <c r="B64">
        <f>('Ron J'!AI14)</f>
        <v>88</v>
      </c>
      <c r="C64">
        <f>('Ron J'!AI23)</f>
        <v>16</v>
      </c>
      <c r="D64">
        <f>('Ron J'!AI32)</f>
        <v>0</v>
      </c>
      <c r="E64">
        <f>('Ron J'!AI42)</f>
        <v>0</v>
      </c>
      <c r="F64">
        <f>('Ron J'!AI52)</f>
        <v>0</v>
      </c>
      <c r="G64">
        <f>('Ron J'!AI62)</f>
        <v>32</v>
      </c>
      <c r="N64" s="2">
        <f t="shared" si="4"/>
        <v>104</v>
      </c>
    </row>
    <row r="65" spans="1:14" x14ac:dyDescent="0.2">
      <c r="A65" t="s">
        <v>60</v>
      </c>
      <c r="B65">
        <f>('Lucas H'!AI14)</f>
        <v>0</v>
      </c>
      <c r="C65">
        <f>('Lucas H'!AI23)</f>
        <v>0</v>
      </c>
      <c r="D65">
        <f>('Lucas H'!AI32)</f>
        <v>24</v>
      </c>
      <c r="E65">
        <f>('Lucas H'!AI42)</f>
        <v>0</v>
      </c>
      <c r="F65">
        <f>('Lucas H'!AI52)</f>
        <v>0</v>
      </c>
      <c r="G65">
        <f>('Lucas H'!AI62)</f>
        <v>0</v>
      </c>
      <c r="N65" s="2">
        <f t="shared" si="4"/>
        <v>24</v>
      </c>
    </row>
    <row r="66" spans="1:14" x14ac:dyDescent="0.2">
      <c r="A66" t="s">
        <v>74</v>
      </c>
      <c r="B66">
        <f>('Daniela Z'!AI14)</f>
        <v>64</v>
      </c>
      <c r="C66">
        <f>('Daniela Z'!AI23)</f>
        <v>40</v>
      </c>
      <c r="D66">
        <f>('Daniela Z'!AI32)</f>
        <v>0</v>
      </c>
      <c r="E66">
        <f>('Daniela Z'!AI42)</f>
        <v>0</v>
      </c>
      <c r="F66">
        <f>('Daniela Z'!AI52)</f>
        <v>40</v>
      </c>
      <c r="G66">
        <f>('Daniela Z'!AI62)</f>
        <v>0</v>
      </c>
      <c r="N66" s="2">
        <f t="shared" si="4"/>
        <v>104</v>
      </c>
    </row>
    <row r="67" spans="1:14" x14ac:dyDescent="0.2">
      <c r="A67" t="s">
        <v>61</v>
      </c>
    </row>
    <row r="70" spans="1:14" x14ac:dyDescent="0.2">
      <c r="A70" s="17" t="s">
        <v>12</v>
      </c>
      <c r="B70" s="22" t="s">
        <v>66</v>
      </c>
      <c r="C70" s="22" t="s">
        <v>67</v>
      </c>
      <c r="D70" s="22" t="s">
        <v>68</v>
      </c>
      <c r="E70" s="22" t="s">
        <v>69</v>
      </c>
      <c r="F70" s="22" t="s">
        <v>70</v>
      </c>
      <c r="G70" s="22" t="s">
        <v>71</v>
      </c>
      <c r="H70" s="22" t="s">
        <v>41</v>
      </c>
      <c r="I70" s="22" t="s">
        <v>5</v>
      </c>
      <c r="J70" s="22" t="s">
        <v>54</v>
      </c>
      <c r="K70" s="22" t="s">
        <v>72</v>
      </c>
      <c r="L70" s="22" t="s">
        <v>73</v>
      </c>
      <c r="M70" s="22" t="s">
        <v>19</v>
      </c>
      <c r="N70" s="21"/>
    </row>
    <row r="71" spans="1:14" x14ac:dyDescent="0.2">
      <c r="A71" t="s">
        <v>55</v>
      </c>
      <c r="B71">
        <f>('Lars B'!AI15)</f>
        <v>0</v>
      </c>
      <c r="C71">
        <f>('Lars B'!AI26)</f>
        <v>0</v>
      </c>
      <c r="D71">
        <f>('Lars B'!AI37)</f>
        <v>0</v>
      </c>
      <c r="E71">
        <f>('Lars B'!AI49)</f>
        <v>0</v>
      </c>
      <c r="F71">
        <f>('Lars B'!AI61)</f>
        <v>0</v>
      </c>
      <c r="G71">
        <v>0</v>
      </c>
      <c r="N71" s="2">
        <f t="shared" ref="N71:N77" si="5">SUM(B71:D71)</f>
        <v>0</v>
      </c>
    </row>
    <row r="72" spans="1:14" x14ac:dyDescent="0.2">
      <c r="A72" t="s">
        <v>56</v>
      </c>
      <c r="B72">
        <f>('Lena S'!AI15)</f>
        <v>0</v>
      </c>
      <c r="C72">
        <v>0</v>
      </c>
      <c r="D72">
        <f>('Lena S'!AI33)</f>
        <v>0</v>
      </c>
      <c r="E72">
        <f>('Lena S'!AI43)</f>
        <v>0</v>
      </c>
      <c r="F72">
        <f>('Lena S'!AI53)</f>
        <v>0</v>
      </c>
      <c r="G72">
        <v>0</v>
      </c>
      <c r="N72" s="2">
        <f t="shared" si="5"/>
        <v>0</v>
      </c>
    </row>
    <row r="73" spans="1:14" x14ac:dyDescent="0.2">
      <c r="A73" t="s">
        <v>57</v>
      </c>
      <c r="B73">
        <f>('Sabrina F'!AI15)</f>
        <v>0</v>
      </c>
      <c r="C73">
        <f>('Sabrina F'!AI24)</f>
        <v>0</v>
      </c>
      <c r="D73">
        <f>('Sabrina F'!AI33)</f>
        <v>0</v>
      </c>
      <c r="E73">
        <f>('Sabrina F'!AI43)</f>
        <v>0</v>
      </c>
      <c r="F73">
        <f>('Sabrina F'!AI53)</f>
        <v>0</v>
      </c>
      <c r="G73">
        <f>('Sabrina F'!AI63)</f>
        <v>0</v>
      </c>
      <c r="N73" s="2">
        <f t="shared" si="5"/>
        <v>0</v>
      </c>
    </row>
    <row r="74" spans="1:14" x14ac:dyDescent="0.2">
      <c r="A74" t="s">
        <v>58</v>
      </c>
      <c r="B74">
        <f>('Karen JT'!AI15)</f>
        <v>0</v>
      </c>
      <c r="C74">
        <f>('Karen JT'!AI24)</f>
        <v>0</v>
      </c>
      <c r="D74">
        <f>('Karen JT'!AI33)</f>
        <v>0</v>
      </c>
      <c r="E74">
        <f>('Karen JT'!AI43)</f>
        <v>48</v>
      </c>
      <c r="F74">
        <f>('Karen JT'!AI53)</f>
        <v>135</v>
      </c>
      <c r="G74">
        <f>('Karen JT'!AI63)</f>
        <v>0</v>
      </c>
      <c r="N74" s="2">
        <f t="shared" si="5"/>
        <v>0</v>
      </c>
    </row>
    <row r="75" spans="1:14" x14ac:dyDescent="0.2">
      <c r="A75" t="s">
        <v>59</v>
      </c>
      <c r="B75">
        <f>('Ron J'!AI15)</f>
        <v>0</v>
      </c>
      <c r="C75">
        <f>('Ron J'!AI24)</f>
        <v>0</v>
      </c>
      <c r="D75">
        <f>('Ron J'!AI33)</f>
        <v>96</v>
      </c>
      <c r="E75">
        <f>('Ron J'!AI43)</f>
        <v>112</v>
      </c>
      <c r="F75">
        <f>('Ron J'!AI53)</f>
        <v>96</v>
      </c>
      <c r="G75">
        <f>('Ron J'!AI63)</f>
        <v>0</v>
      </c>
      <c r="N75" s="2">
        <f t="shared" si="5"/>
        <v>96</v>
      </c>
    </row>
    <row r="76" spans="1:14" x14ac:dyDescent="0.2">
      <c r="A76" t="s">
        <v>60</v>
      </c>
      <c r="B76">
        <f>('Lucas H'!AI15)</f>
        <v>0</v>
      </c>
      <c r="C76">
        <f>('Lucas H'!AI24)</f>
        <v>0</v>
      </c>
      <c r="D76">
        <f>('Lucas H'!AI33)</f>
        <v>0</v>
      </c>
      <c r="E76">
        <f>('Lucas H'!AI43)</f>
        <v>0</v>
      </c>
      <c r="F76">
        <f>('Lucas H'!AI53)</f>
        <v>0</v>
      </c>
      <c r="G76">
        <f>('Lucas H'!AI63)</f>
        <v>0</v>
      </c>
      <c r="N76" s="2">
        <f t="shared" si="5"/>
        <v>0</v>
      </c>
    </row>
    <row r="77" spans="1:14" x14ac:dyDescent="0.2">
      <c r="A77" t="s">
        <v>61</v>
      </c>
      <c r="B77">
        <f>('Daniela Z'!AI15)</f>
        <v>0</v>
      </c>
      <c r="C77">
        <f>('Daniela Z'!AI24)</f>
        <v>0</v>
      </c>
      <c r="D77">
        <f>('Daniela Z'!AI33)</f>
        <v>120</v>
      </c>
      <c r="E77">
        <f>('Daniela Z'!AI43)</f>
        <v>72</v>
      </c>
      <c r="F77">
        <f>('Daniela Z'!AI53)</f>
        <v>80</v>
      </c>
      <c r="G77">
        <f>('Daniela Z'!AI63)</f>
        <v>0</v>
      </c>
      <c r="N77" s="2">
        <f t="shared" si="5"/>
        <v>120</v>
      </c>
    </row>
    <row r="80" spans="1:14" x14ac:dyDescent="0.2">
      <c r="A80" s="34" t="s">
        <v>80</v>
      </c>
      <c r="B80" s="22" t="s">
        <v>66</v>
      </c>
      <c r="C80" s="22" t="s">
        <v>67</v>
      </c>
      <c r="D80" s="22" t="s">
        <v>68</v>
      </c>
      <c r="E80" s="22" t="s">
        <v>69</v>
      </c>
      <c r="F80" s="22" t="s">
        <v>70</v>
      </c>
      <c r="G80" s="22" t="s">
        <v>71</v>
      </c>
      <c r="H80" s="22" t="s">
        <v>41</v>
      </c>
      <c r="I80" s="22" t="s">
        <v>5</v>
      </c>
      <c r="J80" s="22" t="s">
        <v>54</v>
      </c>
      <c r="K80" s="22" t="s">
        <v>72</v>
      </c>
      <c r="L80" s="22" t="s">
        <v>73</v>
      </c>
      <c r="M80" s="22" t="s">
        <v>19</v>
      </c>
      <c r="N80" s="21"/>
    </row>
    <row r="81" spans="1:14" x14ac:dyDescent="0.2">
      <c r="A81" t="s">
        <v>55</v>
      </c>
      <c r="B81">
        <f>('Lars B'!AI24)</f>
        <v>0</v>
      </c>
      <c r="C81">
        <f>('Lars B'!AI35)</f>
        <v>0</v>
      </c>
      <c r="D81">
        <f>('Lars B'!AI46)</f>
        <v>0</v>
      </c>
      <c r="E81">
        <f>('Lars B'!AI58)</f>
        <v>0</v>
      </c>
      <c r="F81">
        <f>('Lars B'!AI70)</f>
        <v>0</v>
      </c>
      <c r="G81">
        <v>0</v>
      </c>
      <c r="N81" s="2">
        <f t="shared" ref="N81:N87" si="6">SUM(B81:D81)</f>
        <v>0</v>
      </c>
    </row>
    <row r="82" spans="1:14" x14ac:dyDescent="0.2">
      <c r="A82" t="s">
        <v>56</v>
      </c>
      <c r="B82">
        <f>('Lena S'!AI24)</f>
        <v>16</v>
      </c>
      <c r="C82">
        <v>0</v>
      </c>
      <c r="D82">
        <f>('Lena S'!AI42)</f>
        <v>40</v>
      </c>
      <c r="E82">
        <f>('Lena S'!AI52)</f>
        <v>0</v>
      </c>
      <c r="F82">
        <f>('Lena S'!AI62)</f>
        <v>0</v>
      </c>
      <c r="G82">
        <v>0</v>
      </c>
      <c r="N82" s="2">
        <f t="shared" si="6"/>
        <v>56</v>
      </c>
    </row>
    <row r="83" spans="1:14" x14ac:dyDescent="0.2">
      <c r="A83" t="s">
        <v>57</v>
      </c>
      <c r="B83">
        <f>('Sabrina F'!AI24)</f>
        <v>0</v>
      </c>
      <c r="C83">
        <f>('Sabrina F'!AI33)</f>
        <v>0</v>
      </c>
      <c r="D83">
        <f>('Sabrina F'!AI42)</f>
        <v>0</v>
      </c>
      <c r="E83">
        <f>('Sabrina F'!AI52)</f>
        <v>0</v>
      </c>
      <c r="F83">
        <f>('Sabrina F'!AI62)</f>
        <v>0</v>
      </c>
      <c r="G83">
        <f>('Sabrina F'!AI72)</f>
        <v>0</v>
      </c>
      <c r="N83" s="2">
        <f t="shared" si="6"/>
        <v>0</v>
      </c>
    </row>
    <row r="84" spans="1:14" x14ac:dyDescent="0.2">
      <c r="A84" t="s">
        <v>58</v>
      </c>
      <c r="B84">
        <f>('Karen JT'!AI24)</f>
        <v>0</v>
      </c>
      <c r="C84">
        <f>('Karen JT'!AI33)</f>
        <v>0</v>
      </c>
      <c r="D84">
        <f>('Karen JT'!AI42)</f>
        <v>0</v>
      </c>
      <c r="E84">
        <f>('Karen JT'!AI52)</f>
        <v>0</v>
      </c>
      <c r="F84">
        <f>('Karen JT'!AI62)</f>
        <v>0</v>
      </c>
      <c r="G84">
        <f>('Karen JT'!AI72)</f>
        <v>0</v>
      </c>
      <c r="N84" s="2">
        <f t="shared" si="6"/>
        <v>0</v>
      </c>
    </row>
    <row r="85" spans="1:14" x14ac:dyDescent="0.2">
      <c r="A85" t="s">
        <v>59</v>
      </c>
      <c r="B85">
        <f>('Ron J'!AI24)</f>
        <v>0</v>
      </c>
      <c r="C85">
        <f>('Ron J'!AI33)</f>
        <v>96</v>
      </c>
      <c r="D85">
        <f>('Ron J'!AI42)</f>
        <v>0</v>
      </c>
      <c r="E85">
        <f>('Ron J'!AI52)</f>
        <v>0</v>
      </c>
      <c r="F85">
        <f>('Ron J'!AI62)</f>
        <v>32</v>
      </c>
      <c r="G85">
        <f>('Ron J'!AI72)</f>
        <v>0</v>
      </c>
      <c r="N85" s="2">
        <f t="shared" si="6"/>
        <v>96</v>
      </c>
    </row>
    <row r="86" spans="1:14" x14ac:dyDescent="0.2">
      <c r="A86" t="s">
        <v>60</v>
      </c>
      <c r="B86">
        <f>('Lucas H'!AI24)</f>
        <v>0</v>
      </c>
      <c r="C86">
        <f>('Lucas H'!AI33)</f>
        <v>0</v>
      </c>
      <c r="D86">
        <f>('Lucas H'!AI42)</f>
        <v>0</v>
      </c>
      <c r="E86">
        <f>('Lucas H'!AI52)</f>
        <v>0</v>
      </c>
      <c r="F86">
        <f>('Lucas H'!AI62)</f>
        <v>0</v>
      </c>
      <c r="G86">
        <f>('Lucas H'!AI72)</f>
        <v>0</v>
      </c>
      <c r="N86" s="2">
        <f t="shared" si="6"/>
        <v>0</v>
      </c>
    </row>
    <row r="87" spans="1:14" x14ac:dyDescent="0.2">
      <c r="A87" t="s">
        <v>74</v>
      </c>
    </row>
    <row r="88" spans="1:14" x14ac:dyDescent="0.2">
      <c r="A88" t="s">
        <v>61</v>
      </c>
      <c r="B88">
        <f>('Daniela Z'!AI24)</f>
        <v>0</v>
      </c>
      <c r="C88">
        <f>('Daniela Z'!AI33)</f>
        <v>120</v>
      </c>
      <c r="D88">
        <f>('Daniela Z'!AI42)</f>
        <v>0</v>
      </c>
      <c r="E88">
        <f>('Daniela Z'!AI52)</f>
        <v>40</v>
      </c>
      <c r="F88">
        <f>('Daniela Z'!AI62)</f>
        <v>0</v>
      </c>
      <c r="G88">
        <f>('Daniela Z'!AI72)</f>
        <v>0</v>
      </c>
      <c r="N88" s="2">
        <f>SUM(B88:D88)</f>
        <v>120</v>
      </c>
    </row>
    <row r="90" spans="1:14" x14ac:dyDescent="0.2">
      <c r="A90" s="17" t="s">
        <v>75</v>
      </c>
      <c r="B90" s="22" t="s">
        <v>66</v>
      </c>
      <c r="C90" s="22" t="s">
        <v>67</v>
      </c>
      <c r="D90" s="22" t="s">
        <v>68</v>
      </c>
      <c r="E90" s="22" t="s">
        <v>69</v>
      </c>
      <c r="F90" s="22" t="s">
        <v>70</v>
      </c>
      <c r="G90" s="22" t="s">
        <v>71</v>
      </c>
      <c r="H90" s="22" t="s">
        <v>41</v>
      </c>
      <c r="I90" s="22" t="s">
        <v>5</v>
      </c>
      <c r="J90" s="22" t="s">
        <v>54</v>
      </c>
      <c r="K90" s="22" t="s">
        <v>72</v>
      </c>
      <c r="L90" s="22" t="s">
        <v>73</v>
      </c>
      <c r="M90" s="22" t="s">
        <v>19</v>
      </c>
      <c r="N90" s="21"/>
    </row>
    <row r="91" spans="1:14" x14ac:dyDescent="0.2">
      <c r="A91" t="s">
        <v>55</v>
      </c>
      <c r="B91">
        <f>('Lars B'!AI34)</f>
        <v>0</v>
      </c>
      <c r="C91">
        <f>('Lars B'!AI45)</f>
        <v>0</v>
      </c>
      <c r="D91">
        <f>('Lars B'!AI56)</f>
        <v>0</v>
      </c>
      <c r="E91">
        <f>('Lars B'!AI68)</f>
        <v>0</v>
      </c>
      <c r="F91">
        <f>('Lars B'!AI80)</f>
        <v>0</v>
      </c>
      <c r="G91">
        <v>0</v>
      </c>
      <c r="N91" s="2">
        <f t="shared" ref="N91:N97" si="7">SUM(B91:D91)</f>
        <v>0</v>
      </c>
    </row>
    <row r="92" spans="1:14" x14ac:dyDescent="0.2">
      <c r="A92" t="s">
        <v>56</v>
      </c>
      <c r="B92">
        <f>('Lena S'!AI34)</f>
        <v>0</v>
      </c>
      <c r="C92">
        <v>0</v>
      </c>
      <c r="D92">
        <f>('Lena S'!AI52)</f>
        <v>0</v>
      </c>
      <c r="E92">
        <f>('Lena S'!AI62)</f>
        <v>0</v>
      </c>
      <c r="F92">
        <f>('Lena S'!AI72)</f>
        <v>0</v>
      </c>
      <c r="G92">
        <v>0</v>
      </c>
      <c r="N92" s="2">
        <f t="shared" si="7"/>
        <v>0</v>
      </c>
    </row>
    <row r="93" spans="1:14" x14ac:dyDescent="0.2">
      <c r="A93" t="s">
        <v>57</v>
      </c>
      <c r="B93">
        <f>('Sabrina F'!AI34)</f>
        <v>0</v>
      </c>
      <c r="C93">
        <f>('Sabrina F'!AI43)</f>
        <v>0</v>
      </c>
      <c r="D93">
        <f>('Sabrina F'!AI52)</f>
        <v>0</v>
      </c>
      <c r="E93">
        <f>('Sabrina F'!AI62)</f>
        <v>0</v>
      </c>
      <c r="F93">
        <f>('Sabrina F'!AI72)</f>
        <v>0</v>
      </c>
      <c r="G93">
        <f>('Sabrina F'!AI82)</f>
        <v>0</v>
      </c>
      <c r="N93" s="2">
        <f t="shared" si="7"/>
        <v>0</v>
      </c>
    </row>
    <row r="94" spans="1:14" x14ac:dyDescent="0.2">
      <c r="A94" t="s">
        <v>58</v>
      </c>
      <c r="B94">
        <f>('Karen JT'!AI34)</f>
        <v>0</v>
      </c>
      <c r="C94">
        <f>('Karen JT'!AI43)</f>
        <v>48</v>
      </c>
      <c r="D94">
        <f>('Karen JT'!AI52)</f>
        <v>0</v>
      </c>
      <c r="E94">
        <f>('Karen JT'!AI62)</f>
        <v>0</v>
      </c>
      <c r="F94">
        <f>('Karen JT'!AI72)</f>
        <v>0</v>
      </c>
      <c r="G94">
        <f>('Karen JT'!AI82)</f>
        <v>0</v>
      </c>
      <c r="N94" s="2">
        <f t="shared" si="7"/>
        <v>48</v>
      </c>
    </row>
    <row r="95" spans="1:14" x14ac:dyDescent="0.2">
      <c r="A95" t="s">
        <v>59</v>
      </c>
      <c r="B95">
        <f>('Ron J'!AI34)</f>
        <v>0</v>
      </c>
      <c r="C95">
        <f>('Ron J'!AI43)</f>
        <v>112</v>
      </c>
      <c r="D95">
        <f>('Ron J'!AI52)</f>
        <v>0</v>
      </c>
      <c r="E95">
        <f>('Ron J'!AI62)</f>
        <v>32</v>
      </c>
      <c r="F95">
        <f>('Ron J'!AI72)</f>
        <v>0</v>
      </c>
      <c r="G95">
        <f>('Ron J'!AI82)</f>
        <v>0</v>
      </c>
      <c r="N95" s="2">
        <f t="shared" si="7"/>
        <v>112</v>
      </c>
    </row>
    <row r="96" spans="1:14" x14ac:dyDescent="0.2">
      <c r="A96" t="s">
        <v>60</v>
      </c>
      <c r="B96">
        <f>('Lucas H'!AI34)</f>
        <v>0</v>
      </c>
      <c r="C96">
        <f>('Lucas H'!AI43)</f>
        <v>0</v>
      </c>
      <c r="D96">
        <f>('Lucas H'!AI52)</f>
        <v>0</v>
      </c>
      <c r="E96">
        <f>('Lucas H'!AI62)</f>
        <v>0</v>
      </c>
      <c r="F96">
        <f>('Lucas H'!AI72)</f>
        <v>0</v>
      </c>
      <c r="G96">
        <f>('Lucas H'!AI82)</f>
        <v>0</v>
      </c>
      <c r="N96" s="2">
        <f t="shared" si="7"/>
        <v>0</v>
      </c>
    </row>
    <row r="97" spans="1:14" x14ac:dyDescent="0.2">
      <c r="A97" t="s">
        <v>74</v>
      </c>
    </row>
    <row r="98" spans="1:14" x14ac:dyDescent="0.2">
      <c r="A98" t="s">
        <v>61</v>
      </c>
      <c r="B98">
        <f>('Daniela Z'!AI34)</f>
        <v>0</v>
      </c>
      <c r="C98">
        <f>('Daniela Z'!AI43)</f>
        <v>72</v>
      </c>
      <c r="D98">
        <f>('Daniela Z'!AI52)</f>
        <v>40</v>
      </c>
      <c r="E98">
        <f>('Daniela Z'!AI62)</f>
        <v>0</v>
      </c>
      <c r="F98">
        <f>('Daniela Z'!AI72)</f>
        <v>0</v>
      </c>
      <c r="G98">
        <f>('Daniela Z'!AI82)</f>
        <v>0</v>
      </c>
      <c r="N98" s="2">
        <f>SUM(B98:D98)</f>
        <v>112</v>
      </c>
    </row>
    <row r="100" spans="1:14" x14ac:dyDescent="0.2">
      <c r="N100"/>
    </row>
    <row r="101" spans="1:14" x14ac:dyDescent="0.2">
      <c r="A101" s="17" t="s">
        <v>9</v>
      </c>
      <c r="B101" s="22" t="s">
        <v>66</v>
      </c>
      <c r="C101" s="22" t="s">
        <v>67</v>
      </c>
      <c r="D101" s="22" t="s">
        <v>68</v>
      </c>
      <c r="E101" s="22" t="s">
        <v>69</v>
      </c>
      <c r="F101" s="22" t="s">
        <v>70</v>
      </c>
      <c r="G101" s="22" t="s">
        <v>71</v>
      </c>
      <c r="H101" s="22" t="s">
        <v>41</v>
      </c>
      <c r="I101" s="22" t="s">
        <v>5</v>
      </c>
      <c r="J101" s="22" t="s">
        <v>54</v>
      </c>
      <c r="K101" s="22" t="s">
        <v>72</v>
      </c>
      <c r="L101" s="22" t="s">
        <v>73</v>
      </c>
      <c r="M101" s="22" t="s">
        <v>19</v>
      </c>
      <c r="N101" s="21"/>
    </row>
    <row r="102" spans="1:14" x14ac:dyDescent="0.2">
      <c r="A102" t="s">
        <v>55</v>
      </c>
      <c r="B102">
        <f>('Lars B'!AI44)</f>
        <v>0</v>
      </c>
      <c r="C102">
        <f>('Lars B'!AI55)</f>
        <v>0</v>
      </c>
      <c r="D102">
        <f>('Lars B'!AI66)</f>
        <v>0</v>
      </c>
      <c r="E102">
        <f>('Lars B'!AI78)</f>
        <v>0</v>
      </c>
      <c r="F102">
        <f>('Lars B'!AI90)</f>
        <v>0</v>
      </c>
      <c r="G102">
        <v>0</v>
      </c>
      <c r="N102" s="2">
        <f t="shared" ref="N102:N108" si="8">SUM(B102:D102)</f>
        <v>0</v>
      </c>
    </row>
    <row r="103" spans="1:14" x14ac:dyDescent="0.2">
      <c r="A103" t="s">
        <v>74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Lars B</vt:lpstr>
      <vt:lpstr>Lena S</vt:lpstr>
      <vt:lpstr>Sabrina F</vt:lpstr>
      <vt:lpstr>Karen JT</vt:lpstr>
      <vt:lpstr>Ron J</vt:lpstr>
      <vt:lpstr>Lucas H</vt:lpstr>
      <vt:lpstr>Mayuresh P</vt:lpstr>
      <vt:lpstr>Daniela Z</vt:lpstr>
      <vt:lpstr>MA2 (3)</vt:lpstr>
      <vt:lpstr>Stunden pro Projekt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Daniela Zavec</cp:lastModifiedBy>
  <dcterms:created xsi:type="dcterms:W3CDTF">2025-08-14T07:44:50Z</dcterms:created>
  <dcterms:modified xsi:type="dcterms:W3CDTF">2025-11-24T17:11:11Z</dcterms:modified>
</cp:coreProperties>
</file>